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orworksind-my.sharepoint.com/personal/ajolly_sportmaster_net/Documents/Desktop/CALCS/"/>
    </mc:Choice>
  </mc:AlternateContent>
  <xr:revisionPtr revIDLastSave="1348" documentId="8_{83456426-6934-40E1-AB09-2D33B321481C}" xr6:coauthVersionLast="47" xr6:coauthVersionMax="47" xr10:uidLastSave="{8CE438C7-0144-4E55-B88F-9C2D999E9477}"/>
  <bookViews>
    <workbookView xWindow="28680" yWindow="-120" windowWidth="29040" windowHeight="15720" tabRatio="909" activeTab="3" xr2:uid="{8D3FE06A-9D68-486B-9B43-5B101C38F456}"/>
  </bookViews>
  <sheets>
    <sheet name="Calculator" sheetId="1" r:id="rId1"/>
    <sheet name="TENNIS READY" sheetId="13" state="hidden" r:id="rId2"/>
    <sheet name="TENNIS CONC" sheetId="12" state="hidden" r:id="rId3"/>
    <sheet name="PICKLEBALL READY" sheetId="14" r:id="rId4"/>
    <sheet name="PICKLEBALL CONC" sheetId="11" state="hidden" r:id="rId5"/>
    <sheet name="BBALL FULL READY" sheetId="16" state="hidden" r:id="rId6"/>
    <sheet name="BBALL FULL CONC" sheetId="15" state="hidden" r:id="rId7"/>
    <sheet name="BBALL HALF READY" sheetId="18" r:id="rId8"/>
    <sheet name="BBALL HALF CONC" sheetId="17" state="hidden" r:id="rId9"/>
    <sheet name="TOTAL AREA READY" sheetId="29" state="hidden" r:id="rId10"/>
    <sheet name="TOTAL AREA CONC" sheetId="30" state="hidden" r:id="rId11"/>
    <sheet name="55 GALLONS READY" sheetId="10" state="hidden" r:id="rId12"/>
    <sheet name="55 GALLONS CONC" sheetId="4" state="hidden" r:id="rId13"/>
    <sheet name="SportMaster Catalog" sheetId="7" state="hidden" r:id="rId14"/>
    <sheet name="1 GALLON" sheetId="5" state="hidden" r:id="rId15"/>
    <sheet name="24 OZ." sheetId="6" state="hidden" r:id="rId16"/>
  </sheets>
  <definedNames>
    <definedName name="Colors">'1 GALLON'!$A$2:$A$18</definedName>
    <definedName name="Court_Dim" localSheetId="2">#REF!=#REF!</definedName>
    <definedName name="Court_Dim" localSheetId="1">#REF!=#REF!</definedName>
    <definedName name="Court_Dim" localSheetId="10">#REF!=#REF!</definedName>
    <definedName name="Court_Dim" localSheetId="9">#REF!=#REF!</definedName>
    <definedName name="Court_Dim">#REF!=#REF!</definedName>
    <definedName name="Court_DropDowns" localSheetId="2">#REF!</definedName>
    <definedName name="Court_DropDowns" localSheetId="1">#REF!</definedName>
    <definedName name="Court_DropDowns" localSheetId="10">#REF!</definedName>
    <definedName name="Court_DropDowns" localSheetId="9">#REF!</definedName>
    <definedName name="Court_DropDowns">#REF!</definedName>
    <definedName name="gal5readydd">#REF!</definedName>
    <definedName name="One_Gallon_Color_Options">'1 GALLON'!$A$1:$A$18</definedName>
    <definedName name="_xlnm.Print_Area" localSheetId="0">Calculator!$G$3:$K$60</definedName>
    <definedName name="Product_DropDown" localSheetId="2">#REF!</definedName>
    <definedName name="Product_DropDown" localSheetId="1">#REF!</definedName>
    <definedName name="Product_DropDown" localSheetId="10">#REF!</definedName>
    <definedName name="Product_DropDown" localSheetId="9">#REF!</definedName>
    <definedName name="Product_DropDown">#REF!</definedName>
    <definedName name="SportMaster_DropDown" localSheetId="2">#REF!</definedName>
    <definedName name="SportMaster_DropDown" localSheetId="1">#REF!</definedName>
    <definedName name="SportMaster_DropDown" localSheetId="10">#REF!</definedName>
    <definedName name="SportMaster_DropDown" localSheetId="9">#REF!</definedName>
    <definedName name="SportMaster_DropDown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" l="1"/>
  <c r="D24" i="29"/>
  <c r="D25" i="29"/>
  <c r="D24" i="30"/>
  <c r="D25" i="30"/>
  <c r="B21" i="1"/>
  <c r="B31" i="1"/>
  <c r="B4" i="18" l="1"/>
  <c r="B4" i="17"/>
  <c r="B4" i="15"/>
  <c r="B4" i="16"/>
  <c r="B4" i="11"/>
  <c r="B4" i="12"/>
  <c r="B4" i="13"/>
  <c r="B4" i="14"/>
  <c r="B23" i="1" l="1"/>
  <c r="B10" i="30"/>
  <c r="B10" i="29"/>
  <c r="E9" i="30"/>
  <c r="B9" i="30"/>
  <c r="E9" i="29"/>
  <c r="B9" i="29"/>
  <c r="B16" i="17"/>
  <c r="B16" i="18"/>
  <c r="B17" i="15"/>
  <c r="B17" i="16"/>
  <c r="B13" i="11"/>
  <c r="B13" i="14"/>
  <c r="B13" i="12"/>
  <c r="B13" i="13"/>
  <c r="E15" i="17"/>
  <c r="B15" i="17"/>
  <c r="E15" i="18"/>
  <c r="B15" i="18"/>
  <c r="B12" i="13"/>
  <c r="B12" i="12"/>
  <c r="B12" i="14"/>
  <c r="B12" i="11"/>
  <c r="B16" i="16"/>
  <c r="B16" i="15"/>
  <c r="E16" i="15"/>
  <c r="E16" i="16"/>
  <c r="E12" i="13"/>
  <c r="E12" i="12"/>
  <c r="E12" i="11"/>
  <c r="E12" i="14" l="1"/>
  <c r="E25" i="30" l="1"/>
  <c r="E24" i="30"/>
  <c r="E22" i="30"/>
  <c r="E21" i="30"/>
  <c r="E19" i="30"/>
  <c r="E18" i="30"/>
  <c r="A15" i="30"/>
  <c r="E15" i="30" s="1"/>
  <c r="E13" i="30"/>
  <c r="E10" i="30"/>
  <c r="B3" i="30"/>
  <c r="E25" i="29"/>
  <c r="E24" i="29"/>
  <c r="E22" i="29"/>
  <c r="E21" i="29"/>
  <c r="E19" i="29"/>
  <c r="E18" i="29"/>
  <c r="A15" i="29"/>
  <c r="E15" i="29" s="1"/>
  <c r="E14" i="29"/>
  <c r="A13" i="29"/>
  <c r="E13" i="29" s="1"/>
  <c r="E12" i="29"/>
  <c r="E10" i="29"/>
  <c r="B3" i="29"/>
  <c r="C3" i="30" l="1"/>
  <c r="C3" i="29"/>
  <c r="C9" i="30" l="1"/>
  <c r="C22" i="30"/>
  <c r="D22" i="30" s="1"/>
  <c r="C21" i="30"/>
  <c r="D21" i="30" s="1"/>
  <c r="C19" i="30"/>
  <c r="D19" i="30" s="1"/>
  <c r="C18" i="30"/>
  <c r="D18" i="30" s="1"/>
  <c r="C13" i="30"/>
  <c r="D13" i="30" s="1"/>
  <c r="D15" i="30" s="1"/>
  <c r="C10" i="30"/>
  <c r="D10" i="30" s="1"/>
  <c r="C11" i="30" s="1"/>
  <c r="D11" i="30" s="1"/>
  <c r="C22" i="29"/>
  <c r="D22" i="29" s="1"/>
  <c r="C14" i="29"/>
  <c r="D14" i="29" s="1"/>
  <c r="D15" i="29" s="1"/>
  <c r="C21" i="29"/>
  <c r="D21" i="29" s="1"/>
  <c r="C19" i="29"/>
  <c r="D19" i="29" s="1"/>
  <c r="C18" i="29"/>
  <c r="D18" i="29" s="1"/>
  <c r="C12" i="29"/>
  <c r="D12" i="29" s="1"/>
  <c r="D13" i="29" s="1"/>
  <c r="C10" i="29"/>
  <c r="D10" i="29" s="1"/>
  <c r="C9" i="29"/>
  <c r="D9" i="29" s="1"/>
  <c r="D9" i="30" l="1"/>
  <c r="C14" i="30"/>
  <c r="D14" i="30" s="1"/>
  <c r="A18" i="11"/>
  <c r="E18" i="11" s="1"/>
  <c r="A20" i="11"/>
  <c r="E20" i="11" s="1"/>
  <c r="A24" i="11"/>
  <c r="E24" i="11" s="1"/>
  <c r="A26" i="11"/>
  <c r="E26" i="11" s="1"/>
  <c r="A32" i="11"/>
  <c r="E32" i="11" s="1"/>
  <c r="A30" i="11"/>
  <c r="E30" i="11" s="1"/>
  <c r="A34" i="14"/>
  <c r="A32" i="14"/>
  <c r="E32" i="14" s="1"/>
  <c r="A30" i="14"/>
  <c r="E30" i="14" s="1"/>
  <c r="A27" i="14"/>
  <c r="A25" i="14"/>
  <c r="E25" i="14" s="1"/>
  <c r="A23" i="14"/>
  <c r="E23" i="14" s="1"/>
  <c r="A20" i="14"/>
  <c r="A18" i="14"/>
  <c r="E18" i="14" s="1"/>
  <c r="A16" i="14"/>
  <c r="E16" i="14" s="1"/>
  <c r="A22" i="12"/>
  <c r="E22" i="12" s="1"/>
  <c r="A18" i="12"/>
  <c r="E18" i="12" s="1"/>
  <c r="A23" i="13" l="1"/>
  <c r="A21" i="13"/>
  <c r="E21" i="13" s="1"/>
  <c r="A18" i="13"/>
  <c r="A16" i="13"/>
  <c r="E16" i="13" s="1"/>
  <c r="A36" i="18"/>
  <c r="E36" i="18" s="1"/>
  <c r="A34" i="18"/>
  <c r="E34" i="18" s="1"/>
  <c r="A31" i="18"/>
  <c r="A29" i="18"/>
  <c r="E29" i="18" s="1"/>
  <c r="A26" i="18"/>
  <c r="A24" i="18"/>
  <c r="E24" i="18" s="1"/>
  <c r="A21" i="18"/>
  <c r="A19" i="18"/>
  <c r="E19" i="18" s="1"/>
  <c r="A33" i="17"/>
  <c r="E33" i="17" s="1"/>
  <c r="A29" i="17"/>
  <c r="E29" i="17" s="1"/>
  <c r="A25" i="17"/>
  <c r="A21" i="17"/>
  <c r="E21" i="17" s="1"/>
  <c r="A37" i="17"/>
  <c r="E37" i="17" s="1"/>
  <c r="A41" i="18"/>
  <c r="E41" i="18" s="1"/>
  <c r="A39" i="18"/>
  <c r="E39" i="18" s="1"/>
  <c r="A42" i="15"/>
  <c r="E42" i="15" s="1"/>
  <c r="A38" i="15"/>
  <c r="E38" i="15" s="1"/>
  <c r="A34" i="15"/>
  <c r="E34" i="15" s="1"/>
  <c r="A30" i="15"/>
  <c r="E30" i="15" s="1"/>
  <c r="A26" i="15"/>
  <c r="E26" i="15" s="1"/>
  <c r="A22" i="15"/>
  <c r="E22" i="15" s="1"/>
  <c r="A47" i="16"/>
  <c r="E47" i="16" s="1"/>
  <c r="A45" i="16"/>
  <c r="E45" i="16" s="1"/>
  <c r="A42" i="16"/>
  <c r="E42" i="16" s="1"/>
  <c r="A40" i="16"/>
  <c r="E40" i="16" s="1"/>
  <c r="A37" i="16"/>
  <c r="E37" i="16" s="1"/>
  <c r="A35" i="16"/>
  <c r="E35" i="16" s="1"/>
  <c r="A32" i="16"/>
  <c r="A30" i="16"/>
  <c r="E30" i="16" s="1"/>
  <c r="A27" i="16"/>
  <c r="A25" i="16"/>
  <c r="E25" i="16" s="1"/>
  <c r="A22" i="16"/>
  <c r="A20" i="16"/>
  <c r="E20" i="16" s="1"/>
  <c r="B29" i="1"/>
  <c r="B25" i="1"/>
  <c r="B3" i="16"/>
  <c r="B3" i="15"/>
  <c r="B3" i="18"/>
  <c r="B3" i="17"/>
  <c r="B3" i="11"/>
  <c r="B3" i="14"/>
  <c r="B3" i="12"/>
  <c r="B3" i="13"/>
  <c r="D5" i="1"/>
  <c r="B6" i="1"/>
  <c r="B5" i="1"/>
  <c r="B6" i="14" l="1"/>
  <c r="E27" i="14"/>
  <c r="E27" i="16"/>
  <c r="E22" i="16"/>
  <c r="E23" i="13"/>
  <c r="E21" i="18"/>
  <c r="E26" i="18"/>
  <c r="E25" i="17"/>
  <c r="E20" i="14"/>
  <c r="E32" i="16"/>
  <c r="E34" i="14"/>
  <c r="E18" i="13"/>
  <c r="E31" i="18"/>
  <c r="E47" i="17" l="1"/>
  <c r="E46" i="17"/>
  <c r="E44" i="17"/>
  <c r="E43" i="17"/>
  <c r="E41" i="17"/>
  <c r="E40" i="17"/>
  <c r="E35" i="17"/>
  <c r="E31" i="17"/>
  <c r="E27" i="17"/>
  <c r="E23" i="17"/>
  <c r="E19" i="17"/>
  <c r="E16" i="17"/>
  <c r="E51" i="18"/>
  <c r="E50" i="18"/>
  <c r="E48" i="18"/>
  <c r="E47" i="18"/>
  <c r="E45" i="18"/>
  <c r="E44" i="18"/>
  <c r="E40" i="18"/>
  <c r="E38" i="18"/>
  <c r="E35" i="18"/>
  <c r="E33" i="18"/>
  <c r="E30" i="18"/>
  <c r="E28" i="18"/>
  <c r="E25" i="18"/>
  <c r="E23" i="18"/>
  <c r="E20" i="18"/>
  <c r="E18" i="18"/>
  <c r="E16" i="18"/>
  <c r="E52" i="15"/>
  <c r="E51" i="15"/>
  <c r="E49" i="15"/>
  <c r="E48" i="15"/>
  <c r="E46" i="15"/>
  <c r="E45" i="15"/>
  <c r="E40" i="15"/>
  <c r="E36" i="15"/>
  <c r="E32" i="15"/>
  <c r="E28" i="15"/>
  <c r="E24" i="15"/>
  <c r="E20" i="15"/>
  <c r="E17" i="15"/>
  <c r="E57" i="16"/>
  <c r="E56" i="16"/>
  <c r="E54" i="16"/>
  <c r="E53" i="16"/>
  <c r="E51" i="16"/>
  <c r="E50" i="16"/>
  <c r="E46" i="16"/>
  <c r="E44" i="16"/>
  <c r="E41" i="16"/>
  <c r="E39" i="16"/>
  <c r="E36" i="16"/>
  <c r="E34" i="16"/>
  <c r="E31" i="16"/>
  <c r="E29" i="16"/>
  <c r="E26" i="16"/>
  <c r="E24" i="16"/>
  <c r="E21" i="16"/>
  <c r="E19" i="16"/>
  <c r="E17" i="16"/>
  <c r="E42" i="11"/>
  <c r="E41" i="11"/>
  <c r="E39" i="11"/>
  <c r="E38" i="11"/>
  <c r="E36" i="11"/>
  <c r="E35" i="11"/>
  <c r="E31" i="11"/>
  <c r="E28" i="11"/>
  <c r="E25" i="11"/>
  <c r="E22" i="11"/>
  <c r="E19" i="11"/>
  <c r="E16" i="11"/>
  <c r="E13" i="11"/>
  <c r="E44" i="14"/>
  <c r="E43" i="14"/>
  <c r="E41" i="14"/>
  <c r="E40" i="14"/>
  <c r="E38" i="14"/>
  <c r="E37" i="14"/>
  <c r="E33" i="14"/>
  <c r="E31" i="14"/>
  <c r="E29" i="14"/>
  <c r="E26" i="14"/>
  <c r="E24" i="14"/>
  <c r="E22" i="14"/>
  <c r="E19" i="14"/>
  <c r="E17" i="14"/>
  <c r="E15" i="14"/>
  <c r="E13" i="14"/>
  <c r="E32" i="12"/>
  <c r="E31" i="12"/>
  <c r="E29" i="12"/>
  <c r="E28" i="12"/>
  <c r="E26" i="12"/>
  <c r="E25" i="12"/>
  <c r="E20" i="12"/>
  <c r="E16" i="12"/>
  <c r="E13" i="12"/>
  <c r="E33" i="13"/>
  <c r="E32" i="13"/>
  <c r="E30" i="13"/>
  <c r="E29" i="13"/>
  <c r="E27" i="13"/>
  <c r="E26" i="13"/>
  <c r="E22" i="13"/>
  <c r="E20" i="13"/>
  <c r="E17" i="13"/>
  <c r="E15" i="13"/>
  <c r="E13" i="13"/>
  <c r="C43" i="14" l="1"/>
  <c r="D43" i="14" s="1"/>
  <c r="B5" i="14"/>
  <c r="C5" i="14" s="1"/>
  <c r="B59" i="16"/>
  <c r="B8" i="18"/>
  <c r="B6" i="13"/>
  <c r="B5" i="13" s="1"/>
  <c r="B5" i="17"/>
  <c r="B6" i="17" s="1"/>
  <c r="B5" i="11"/>
  <c r="C5" i="11" s="1"/>
  <c r="C3" i="11"/>
  <c r="C46" i="17"/>
  <c r="D46" i="17" s="1"/>
  <c r="B7" i="17"/>
  <c r="B49" i="17"/>
  <c r="C47" i="17"/>
  <c r="D47" i="17" s="1"/>
  <c r="B9" i="17"/>
  <c r="B8" i="17"/>
  <c r="B46" i="14"/>
  <c r="C6" i="14"/>
  <c r="C44" i="14"/>
  <c r="D44" i="14" s="1"/>
  <c r="C3" i="18"/>
  <c r="C3" i="17"/>
  <c r="C3" i="14"/>
  <c r="B6" i="11"/>
  <c r="C6" i="11" s="1"/>
  <c r="C3" i="13"/>
  <c r="C41" i="11"/>
  <c r="D41" i="11" s="1"/>
  <c r="B44" i="11"/>
  <c r="C42" i="11"/>
  <c r="D42" i="11" s="1"/>
  <c r="C3" i="12"/>
  <c r="C12" i="12" s="1"/>
  <c r="D12" i="12" s="1"/>
  <c r="C3" i="16"/>
  <c r="C3" i="15"/>
  <c r="C12" i="13" l="1"/>
  <c r="D12" i="13" s="1"/>
  <c r="C49" i="15"/>
  <c r="D49" i="15" s="1"/>
  <c r="C48" i="15"/>
  <c r="D48" i="15" s="1"/>
  <c r="C45" i="15"/>
  <c r="D45" i="15" s="1"/>
  <c r="C46" i="15"/>
  <c r="D46" i="15" s="1"/>
  <c r="C6" i="13"/>
  <c r="C20" i="13" s="1"/>
  <c r="C5" i="13"/>
  <c r="C19" i="14"/>
  <c r="D19" i="14" s="1"/>
  <c r="D20" i="14" s="1"/>
  <c r="C17" i="14"/>
  <c r="D17" i="14" s="1"/>
  <c r="D18" i="14" s="1"/>
  <c r="C41" i="14"/>
  <c r="D41" i="14" s="1"/>
  <c r="C15" i="14"/>
  <c r="D15" i="14" s="1"/>
  <c r="D16" i="14" s="1"/>
  <c r="C40" i="14"/>
  <c r="D40" i="14" s="1"/>
  <c r="C38" i="14"/>
  <c r="D38" i="14" s="1"/>
  <c r="C37" i="14"/>
  <c r="D37" i="14" s="1"/>
  <c r="C13" i="14"/>
  <c r="D13" i="14" s="1"/>
  <c r="C12" i="14"/>
  <c r="D12" i="14" s="1"/>
  <c r="C19" i="11"/>
  <c r="D19" i="11" s="1"/>
  <c r="D20" i="11" s="1"/>
  <c r="C39" i="11"/>
  <c r="D39" i="11" s="1"/>
  <c r="C38" i="11"/>
  <c r="D38" i="11" s="1"/>
  <c r="C36" i="11"/>
  <c r="D36" i="11" s="1"/>
  <c r="C35" i="11"/>
  <c r="D35" i="11" s="1"/>
  <c r="C16" i="11"/>
  <c r="D16" i="11" s="1"/>
  <c r="C12" i="11"/>
  <c r="D12" i="11" s="1"/>
  <c r="C13" i="11"/>
  <c r="C43" i="17"/>
  <c r="D43" i="17" s="1"/>
  <c r="C41" i="17"/>
  <c r="D41" i="17" s="1"/>
  <c r="C40" i="17"/>
  <c r="D40" i="17" s="1"/>
  <c r="C44" i="17"/>
  <c r="D44" i="17" s="1"/>
  <c r="C15" i="17"/>
  <c r="D15" i="17" s="1"/>
  <c r="C16" i="17"/>
  <c r="D16" i="17" s="1"/>
  <c r="C25" i="11"/>
  <c r="D25" i="11" s="1"/>
  <c r="D26" i="11" s="1"/>
  <c r="C22" i="11"/>
  <c r="D22" i="11" s="1"/>
  <c r="C48" i="18"/>
  <c r="D48" i="18" s="1"/>
  <c r="C47" i="18"/>
  <c r="D47" i="18" s="1"/>
  <c r="C45" i="18"/>
  <c r="D45" i="18" s="1"/>
  <c r="C44" i="18"/>
  <c r="D44" i="18" s="1"/>
  <c r="C15" i="18"/>
  <c r="D15" i="18" s="1"/>
  <c r="C16" i="18"/>
  <c r="D16" i="18" s="1"/>
  <c r="C31" i="14"/>
  <c r="D31" i="14" s="1"/>
  <c r="D32" i="14" s="1"/>
  <c r="C33" i="14"/>
  <c r="D33" i="14" s="1"/>
  <c r="D34" i="14" s="1"/>
  <c r="C29" i="14"/>
  <c r="D29" i="14" s="1"/>
  <c r="D30" i="14" s="1"/>
  <c r="C31" i="11"/>
  <c r="D31" i="11" s="1"/>
  <c r="D32" i="11" s="1"/>
  <c r="C28" i="11"/>
  <c r="D28" i="11" s="1"/>
  <c r="C16" i="15"/>
  <c r="D16" i="15" s="1"/>
  <c r="C17" i="15"/>
  <c r="D17" i="15" s="1"/>
  <c r="C54" i="16"/>
  <c r="D54" i="16" s="1"/>
  <c r="C53" i="16"/>
  <c r="D53" i="16" s="1"/>
  <c r="C51" i="16"/>
  <c r="D51" i="16" s="1"/>
  <c r="C50" i="16"/>
  <c r="D50" i="16" s="1"/>
  <c r="C16" i="16"/>
  <c r="D16" i="16" s="1"/>
  <c r="C17" i="16"/>
  <c r="D17" i="16" s="1"/>
  <c r="C22" i="14"/>
  <c r="D22" i="14" s="1"/>
  <c r="D23" i="14" s="1"/>
  <c r="C26" i="14"/>
  <c r="D26" i="14" s="1"/>
  <c r="D27" i="14" s="1"/>
  <c r="C24" i="14"/>
  <c r="D24" i="14" s="1"/>
  <c r="D25" i="14" s="1"/>
  <c r="C30" i="13"/>
  <c r="C26" i="13"/>
  <c r="C29" i="13"/>
  <c r="C27" i="13"/>
  <c r="C13" i="13"/>
  <c r="C29" i="12"/>
  <c r="D29" i="12" s="1"/>
  <c r="C28" i="12"/>
  <c r="D28" i="12" s="1"/>
  <c r="C26" i="12"/>
  <c r="D26" i="12" s="1"/>
  <c r="C25" i="12"/>
  <c r="D25" i="12" s="1"/>
  <c r="C13" i="12"/>
  <c r="D13" i="12" s="1"/>
  <c r="C50" i="18"/>
  <c r="D50" i="18" s="1"/>
  <c r="B9" i="18"/>
  <c r="B5" i="16"/>
  <c r="B6" i="16" s="1"/>
  <c r="B53" i="18"/>
  <c r="C51" i="18"/>
  <c r="D51" i="18" s="1"/>
  <c r="B5" i="18"/>
  <c r="B6" i="18" s="1"/>
  <c r="B7" i="18"/>
  <c r="C32" i="13"/>
  <c r="C33" i="13"/>
  <c r="B35" i="13"/>
  <c r="C8" i="18"/>
  <c r="C8" i="17"/>
  <c r="B10" i="16"/>
  <c r="B9" i="16"/>
  <c r="C56" i="16"/>
  <c r="D56" i="16" s="1"/>
  <c r="B7" i="16"/>
  <c r="C57" i="16"/>
  <c r="D57" i="16" s="1"/>
  <c r="B8" i="16"/>
  <c r="C32" i="12"/>
  <c r="D32" i="12" s="1"/>
  <c r="C31" i="12"/>
  <c r="D31" i="12" s="1"/>
  <c r="B34" i="12"/>
  <c r="B6" i="12"/>
  <c r="B5" i="12" s="1"/>
  <c r="C22" i="13" l="1"/>
  <c r="D22" i="13" s="1"/>
  <c r="D23" i="13" s="1"/>
  <c r="C6" i="12"/>
  <c r="C20" i="12" s="1"/>
  <c r="D20" i="12" s="1"/>
  <c r="D22" i="12" s="1"/>
  <c r="C5" i="12"/>
  <c r="C16" i="12" s="1"/>
  <c r="D16" i="12" s="1"/>
  <c r="D18" i="12" s="1"/>
  <c r="C31" i="17"/>
  <c r="D31" i="17" s="1"/>
  <c r="C35" i="18"/>
  <c r="D35" i="18" s="1"/>
  <c r="D36" i="18" s="1"/>
  <c r="C33" i="18"/>
  <c r="D33" i="18" s="1"/>
  <c r="D34" i="18" s="1"/>
  <c r="C17" i="13"/>
  <c r="C15" i="13"/>
  <c r="D15" i="13" s="1"/>
  <c r="D16" i="13" s="1"/>
  <c r="D13" i="13"/>
  <c r="D26" i="13"/>
  <c r="D32" i="13"/>
  <c r="D33" i="13"/>
  <c r="D20" i="13"/>
  <c r="D21" i="13" s="1"/>
  <c r="D27" i="13"/>
  <c r="D30" i="13"/>
  <c r="D29" i="13"/>
  <c r="C9" i="17"/>
  <c r="C9" i="18"/>
  <c r="C5" i="18"/>
  <c r="C17" i="17"/>
  <c r="D17" i="17" s="1"/>
  <c r="D18" i="11"/>
  <c r="C17" i="11"/>
  <c r="D17" i="11" s="1"/>
  <c r="D24" i="11"/>
  <c r="C23" i="11"/>
  <c r="D23" i="11" s="1"/>
  <c r="C18" i="15"/>
  <c r="D18" i="15" s="1"/>
  <c r="D30" i="11"/>
  <c r="C29" i="11"/>
  <c r="D29" i="11" s="1"/>
  <c r="C5" i="17"/>
  <c r="C6" i="18"/>
  <c r="C6" i="17"/>
  <c r="C7" i="18"/>
  <c r="C7" i="17"/>
  <c r="D13" i="11"/>
  <c r="C14" i="11" s="1"/>
  <c r="D14" i="11" s="1"/>
  <c r="C14" i="12"/>
  <c r="D14" i="12" s="1"/>
  <c r="C8" i="16"/>
  <c r="C8" i="15"/>
  <c r="C32" i="15" s="1"/>
  <c r="C7" i="15"/>
  <c r="C28" i="15" s="1"/>
  <c r="C7" i="16"/>
  <c r="C10" i="16"/>
  <c r="C10" i="15"/>
  <c r="C40" i="15" s="1"/>
  <c r="C5" i="15"/>
  <c r="C20" i="15" s="1"/>
  <c r="C5" i="16"/>
  <c r="C6" i="15"/>
  <c r="C24" i="15" s="1"/>
  <c r="C6" i="16"/>
  <c r="C9" i="16"/>
  <c r="C9" i="15"/>
  <c r="C36" i="15" s="1"/>
  <c r="D36" i="15" s="1"/>
  <c r="C32" i="17" l="1"/>
  <c r="D32" i="17" s="1"/>
  <c r="D33" i="17"/>
  <c r="C39" i="16"/>
  <c r="D39" i="16" s="1"/>
  <c r="D40" i="16" s="1"/>
  <c r="C41" i="16"/>
  <c r="D41" i="16" s="1"/>
  <c r="D42" i="16" s="1"/>
  <c r="D20" i="15"/>
  <c r="C25" i="18"/>
  <c r="D25" i="18" s="1"/>
  <c r="D26" i="18" s="1"/>
  <c r="C23" i="18"/>
  <c r="D23" i="18" s="1"/>
  <c r="D24" i="18" s="1"/>
  <c r="C20" i="18"/>
  <c r="D20" i="18" s="1"/>
  <c r="D21" i="18" s="1"/>
  <c r="C18" i="18"/>
  <c r="D18" i="18" s="1"/>
  <c r="D19" i="18" s="1"/>
  <c r="D40" i="15"/>
  <c r="C40" i="18"/>
  <c r="D40" i="18" s="1"/>
  <c r="D41" i="18" s="1"/>
  <c r="C38" i="18"/>
  <c r="D38" i="18" s="1"/>
  <c r="D39" i="18" s="1"/>
  <c r="C31" i="16"/>
  <c r="D31" i="16" s="1"/>
  <c r="D32" i="16" s="1"/>
  <c r="C29" i="16"/>
  <c r="D29" i="16" s="1"/>
  <c r="D30" i="16" s="1"/>
  <c r="D28" i="15"/>
  <c r="C26" i="16"/>
  <c r="D26" i="16" s="1"/>
  <c r="D27" i="16" s="1"/>
  <c r="C24" i="16"/>
  <c r="D24" i="16" s="1"/>
  <c r="D25" i="16" s="1"/>
  <c r="C28" i="18"/>
  <c r="D28" i="18" s="1"/>
  <c r="D29" i="18" s="1"/>
  <c r="C30" i="18"/>
  <c r="D30" i="18" s="1"/>
  <c r="D31" i="18" s="1"/>
  <c r="C21" i="16"/>
  <c r="D21" i="16" s="1"/>
  <c r="D22" i="16" s="1"/>
  <c r="C19" i="16"/>
  <c r="C23" i="17"/>
  <c r="D23" i="17" s="1"/>
  <c r="C19" i="17"/>
  <c r="D19" i="17" s="1"/>
  <c r="C46" i="16"/>
  <c r="D46" i="16" s="1"/>
  <c r="D47" i="16" s="1"/>
  <c r="C44" i="16"/>
  <c r="D44" i="16" s="1"/>
  <c r="D45" i="16" s="1"/>
  <c r="D32" i="15"/>
  <c r="C36" i="16"/>
  <c r="D36" i="16" s="1"/>
  <c r="D37" i="16" s="1"/>
  <c r="C34" i="16"/>
  <c r="D34" i="16" s="1"/>
  <c r="D35" i="16" s="1"/>
  <c r="C27" i="17"/>
  <c r="D27" i="17" s="1"/>
  <c r="D24" i="15"/>
  <c r="C35" i="17"/>
  <c r="D35" i="17" s="1"/>
  <c r="C21" i="12"/>
  <c r="D21" i="12" s="1"/>
  <c r="C17" i="12"/>
  <c r="D17" i="12" s="1"/>
  <c r="D17" i="13"/>
  <c r="D18" i="13" s="1"/>
  <c r="D30" i="15" l="1"/>
  <c r="C29" i="15"/>
  <c r="D29" i="15" s="1"/>
  <c r="D42" i="15"/>
  <c r="C41" i="15"/>
  <c r="D41" i="15" s="1"/>
  <c r="D34" i="15"/>
  <c r="C33" i="15"/>
  <c r="D33" i="15" s="1"/>
  <c r="C25" i="15"/>
  <c r="D25" i="15" s="1"/>
  <c r="D26" i="15"/>
  <c r="C28" i="17"/>
  <c r="D28" i="17" s="1"/>
  <c r="D29" i="17"/>
  <c r="D25" i="17"/>
  <c r="C24" i="17"/>
  <c r="D24" i="17" s="1"/>
  <c r="D37" i="17"/>
  <c r="C36" i="17"/>
  <c r="D36" i="17" s="1"/>
  <c r="D22" i="15"/>
  <c r="C21" i="15"/>
  <c r="D21" i="15" s="1"/>
  <c r="D21" i="17"/>
  <c r="C20" i="17"/>
  <c r="D20" i="17" s="1"/>
  <c r="C37" i="15"/>
  <c r="D37" i="15" s="1"/>
  <c r="D38" i="15"/>
  <c r="D19" i="16"/>
  <c r="D20" i="16" s="1"/>
  <c r="G4" i="1" l="1" a="1"/>
  <c r="G4" i="1" s="1"/>
  <c r="B54" i="15"/>
  <c r="B5" i="15"/>
  <c r="B6" i="15" s="1"/>
  <c r="B8" i="15"/>
  <c r="B7" i="15"/>
  <c r="B10" i="15"/>
  <c r="C51" i="15"/>
  <c r="D51" i="15" s="1"/>
  <c r="C52" i="15"/>
  <c r="D52" i="15" s="1"/>
  <c r="B9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<sst xmlns="http://schemas.openxmlformats.org/spreadsheetml/2006/main" count="1271" uniqueCount="418">
  <si>
    <t>SportMaster Product Calculator</t>
  </si>
  <si>
    <t>Not Selected</t>
  </si>
  <si>
    <t>Red ColorPlus</t>
  </si>
  <si>
    <t>Column1</t>
  </si>
  <si>
    <t>Column2</t>
  </si>
  <si>
    <t>Column3</t>
  </si>
  <si>
    <t>Column4</t>
  </si>
  <si>
    <t>Column5</t>
  </si>
  <si>
    <t>Square Foot</t>
  </si>
  <si>
    <t>Number of Courts</t>
  </si>
  <si>
    <t>Outside Area</t>
  </si>
  <si>
    <t>Playing Area</t>
  </si>
  <si>
    <t>Crack Filler</t>
  </si>
  <si>
    <t>Linear Feet Per Gallon</t>
  </si>
  <si>
    <t>Recommended Width</t>
  </si>
  <si>
    <t>Disclaimer</t>
  </si>
  <si>
    <t>Acrylic Crack Patch</t>
  </si>
  <si>
    <t>75 - 150 feet of Cracks</t>
  </si>
  <si>
    <t>For Cracks up to 1" wide</t>
  </si>
  <si>
    <t xml:space="preserve">These coverage rates may vary </t>
  </si>
  <si>
    <t>CrackMagic</t>
  </si>
  <si>
    <t>For Cracks up to 1/2" wide</t>
  </si>
  <si>
    <t xml:space="preserve">depending on width as well as </t>
  </si>
  <si>
    <t>CourtFlex</t>
  </si>
  <si>
    <t>150 - 200 feet of Cracks</t>
  </si>
  <si>
    <t>depth of the cracks</t>
  </si>
  <si>
    <t>Total Area</t>
  </si>
  <si>
    <t>Coats</t>
  </si>
  <si>
    <t>Gallons Needed</t>
  </si>
  <si>
    <t>Total Packaging Needed</t>
  </si>
  <si>
    <t>Item Number</t>
  </si>
  <si>
    <t>Acrylic Adhesion Promoter</t>
  </si>
  <si>
    <t>Acrylic Resurfacer w/ Sand</t>
  </si>
  <si>
    <t>Outside Area (4,392 sq ft per court) (Product Options)</t>
  </si>
  <si>
    <t>Neutral Concentrate w/ Sand</t>
  </si>
  <si>
    <t/>
  </si>
  <si>
    <t>Ready-Mix Color</t>
  </si>
  <si>
    <r>
      <t xml:space="preserve">Playing Area </t>
    </r>
    <r>
      <rPr>
        <b/>
        <i/>
        <sz val="11"/>
        <color theme="1"/>
        <rFont val="Arial"/>
        <family val="2"/>
      </rPr>
      <t>(78 ft x 36 ft per court)</t>
    </r>
    <r>
      <rPr>
        <b/>
        <sz val="11"/>
        <color theme="1"/>
        <rFont val="Arial"/>
        <family val="2"/>
      </rPr>
      <t xml:space="preserve"> (Product Options)</t>
    </r>
  </si>
  <si>
    <t>ProCushion Layers (Optional)</t>
  </si>
  <si>
    <t>Standard System</t>
  </si>
  <si>
    <t>CushionMaster II (Coarse Rubber)</t>
  </si>
  <si>
    <t>CushionMaster I (Fine Rubber)</t>
  </si>
  <si>
    <t>Premium System</t>
  </si>
  <si>
    <t>Striping</t>
  </si>
  <si>
    <t>Stripe Rite</t>
  </si>
  <si>
    <t>White Line Paint</t>
  </si>
  <si>
    <t>Masking Tape</t>
  </si>
  <si>
    <t>Rolls Needed</t>
  </si>
  <si>
    <t>Standard Size Roll</t>
  </si>
  <si>
    <t>Gallons / Pounds Needed</t>
  </si>
  <si>
    <t>Acrylic Resurfacer</t>
  </si>
  <si>
    <t>Resurfacer Sand (50-60 Mesh)</t>
  </si>
  <si>
    <t>R1020</t>
  </si>
  <si>
    <t>Neutral Concentrate</t>
  </si>
  <si>
    <t>Color Sand (80-90 Mesh)</t>
  </si>
  <si>
    <t>R1010</t>
  </si>
  <si>
    <t>Column42</t>
  </si>
  <si>
    <t>Service Boxes</t>
  </si>
  <si>
    <t>Kitchen Area</t>
  </si>
  <si>
    <t>Total Area (Product Options)</t>
  </si>
  <si>
    <t>PickleMaster</t>
  </si>
  <si>
    <t>PickleMaster RTU</t>
  </si>
  <si>
    <r>
      <t xml:space="preserve">Service Area </t>
    </r>
    <r>
      <rPr>
        <b/>
        <i/>
        <sz val="11"/>
        <color theme="1"/>
        <rFont val="Arial"/>
        <family val="2"/>
      </rPr>
      <t xml:space="preserve">(1 5 ft x 20 ft * 2 per court) </t>
    </r>
    <r>
      <rPr>
        <b/>
        <sz val="11"/>
        <color theme="1"/>
        <rFont val="Arial"/>
        <family val="2"/>
      </rPr>
      <t>(Product Options)</t>
    </r>
  </si>
  <si>
    <r>
      <t xml:space="preserve">Kitchen Area </t>
    </r>
    <r>
      <rPr>
        <b/>
        <i/>
        <sz val="11"/>
        <color theme="1"/>
        <rFont val="Arial"/>
        <family val="2"/>
      </rPr>
      <t>(14 ft x 20 ft per court)</t>
    </r>
    <r>
      <rPr>
        <b/>
        <sz val="11"/>
        <color theme="1"/>
        <rFont val="Arial"/>
        <family val="2"/>
      </rPr>
      <t xml:space="preserve"> (Product Options)</t>
    </r>
  </si>
  <si>
    <r>
      <t xml:space="preserve">Service Area </t>
    </r>
    <r>
      <rPr>
        <b/>
        <i/>
        <sz val="11"/>
        <color theme="1"/>
        <rFont val="Arial"/>
        <family val="2"/>
      </rPr>
      <t>(15 ft x 20 ft * 2 per court)</t>
    </r>
  </si>
  <si>
    <r>
      <t xml:space="preserve">Kitchen Area </t>
    </r>
    <r>
      <rPr>
        <b/>
        <i/>
        <sz val="11"/>
        <color theme="1"/>
        <rFont val="Arial"/>
        <family val="2"/>
      </rPr>
      <t>(14 ft x 20 ft per court)</t>
    </r>
  </si>
  <si>
    <t>Court</t>
  </si>
  <si>
    <t>Border</t>
  </si>
  <si>
    <t>Three Point Area</t>
  </si>
  <si>
    <t>Key</t>
  </si>
  <si>
    <t>Free Throw Circle</t>
  </si>
  <si>
    <t>Center Court Circle</t>
  </si>
  <si>
    <t>Court (Product Options)</t>
  </si>
  <si>
    <t>Border (Product Options)</t>
  </si>
  <si>
    <t>Three Point Area (Product Options)</t>
  </si>
  <si>
    <t>Key (Product Options)</t>
  </si>
  <si>
    <t>Free Throw Circle (Product Options)</t>
  </si>
  <si>
    <t>Center Court Circle (Product Options)</t>
  </si>
  <si>
    <t>Products</t>
  </si>
  <si>
    <t>Concrete Coverage Rate</t>
  </si>
  <si>
    <t>Asphalt Coverage Rate</t>
  </si>
  <si>
    <t>Existing Concrete Coverage Rate</t>
  </si>
  <si>
    <t>Existing Asphalt Coverage Rate</t>
  </si>
  <si>
    <t>Weight</t>
  </si>
  <si>
    <t>Price</t>
  </si>
  <si>
    <t>Gallons</t>
  </si>
  <si>
    <t>Skid Size</t>
  </si>
  <si>
    <t>C1650</t>
  </si>
  <si>
    <t>C1330</t>
  </si>
  <si>
    <t>C1450</t>
  </si>
  <si>
    <t>C1460</t>
  </si>
  <si>
    <t>C1365</t>
  </si>
  <si>
    <t>C1298</t>
  </si>
  <si>
    <t>C1285P</t>
  </si>
  <si>
    <t>C1299P</t>
  </si>
  <si>
    <t>C1610G</t>
  </si>
  <si>
    <t>C1620G</t>
  </si>
  <si>
    <t>C1560G</t>
  </si>
  <si>
    <t>C1520G</t>
  </si>
  <si>
    <t>Resurfacer Sand</t>
  </si>
  <si>
    <t xml:space="preserve">Color Sand </t>
  </si>
  <si>
    <t>C1300</t>
  </si>
  <si>
    <t>Acrylic Resurfacer - Neutral 55 Gal. Drum</t>
  </si>
  <si>
    <t>Flexible Acrylic Resurfacer</t>
  </si>
  <si>
    <t>C1320</t>
  </si>
  <si>
    <t>C1360</t>
  </si>
  <si>
    <t>Flexible Concentrate</t>
  </si>
  <si>
    <t>C1455</t>
  </si>
  <si>
    <t>Coverage Rate</t>
  </si>
  <si>
    <t>Acrylic Adhesion Promoter - 5 Gal. Pail</t>
  </si>
  <si>
    <t>C1650P</t>
  </si>
  <si>
    <t>Acrylic Adhesion Promoter - 30 Gal. Keg</t>
  </si>
  <si>
    <t>C1650K</t>
  </si>
  <si>
    <t>Acrylic Adhesion Promoter - 55 Gal. Drum</t>
  </si>
  <si>
    <t>C1650D</t>
  </si>
  <si>
    <t>Acrylic Resurfacer - Black 5 Gal. Pail</t>
  </si>
  <si>
    <t>C1300P</t>
  </si>
  <si>
    <t>Acrylic Resurfacer - Black 30 Gal. Keg</t>
  </si>
  <si>
    <t>C1300K</t>
  </si>
  <si>
    <t>Acrylic Resurfacer - Black 55 Gal. Drum</t>
  </si>
  <si>
    <t>C1300D</t>
  </si>
  <si>
    <t>Acrylic Resurfacer - Neutral 5 Gal. Pail</t>
  </si>
  <si>
    <t>C1310P</t>
  </si>
  <si>
    <t>Acrylic Resurfacer - Neutral 30 Gal. Keg</t>
  </si>
  <si>
    <t>C1310K</t>
  </si>
  <si>
    <t>C1310D</t>
  </si>
  <si>
    <t>Acrylic Resurfacer w/ Sand - Black 5 Gal. Pail</t>
  </si>
  <si>
    <t>C1330P</t>
  </si>
  <si>
    <t>Acrylic Resurfacer w/ Sand - Black 30 Gal. Keg</t>
  </si>
  <si>
    <t>C1330K</t>
  </si>
  <si>
    <t>Acrylic Resurfacer w/ Sand - Black 55 Gal. Drum</t>
  </si>
  <si>
    <t>C1330D</t>
  </si>
  <si>
    <t>Flexible Acrylic Resurfacer - 5 Gal. Pail</t>
  </si>
  <si>
    <t>C1320P</t>
  </si>
  <si>
    <t>Flexible Acrylic Resurfacer - 30 Gal. Keg</t>
  </si>
  <si>
    <t>C1320K</t>
  </si>
  <si>
    <t>Flexible Acrylic Resurfacer - 55 Gal. Drum</t>
  </si>
  <si>
    <t>C1320D</t>
  </si>
  <si>
    <t>CushionMaster I - 5 Gal. Pail</t>
  </si>
  <si>
    <t>C1450P</t>
  </si>
  <si>
    <t>CushionMaster I - 30 Gal. Keg</t>
  </si>
  <si>
    <t>C1450K</t>
  </si>
  <si>
    <t>CushionMaster I - 55 Gal. Drum</t>
  </si>
  <si>
    <t>C1450D</t>
  </si>
  <si>
    <t>CushionMaster II - 5 Gal. Pail</t>
  </si>
  <si>
    <t>C1460P</t>
  </si>
  <si>
    <t>CushionMaster II - 30 Gal. Keg</t>
  </si>
  <si>
    <t>C1460K</t>
  </si>
  <si>
    <t>CushionMaster II - 55 Gal. Drum</t>
  </si>
  <si>
    <t>C1460D</t>
  </si>
  <si>
    <t>Neutral Concentrate - 5 Gal. Pail</t>
  </si>
  <si>
    <t>C1360P</t>
  </si>
  <si>
    <t>Neutral Concentrate - 30 Gal. Keg</t>
  </si>
  <si>
    <t>C1360K</t>
  </si>
  <si>
    <t>Neutral Concentrate - 55 Gal. Drum</t>
  </si>
  <si>
    <t>C1360D</t>
  </si>
  <si>
    <t>Neutral Concentrate - 275 Gal. Tote</t>
  </si>
  <si>
    <t>C1360T</t>
  </si>
  <si>
    <t>Neutral Concentrate w/ Sand - 5 Gal. Pail</t>
  </si>
  <si>
    <t>C1365P</t>
  </si>
  <si>
    <t>Neutral Concentrate w/ Sand - 30 Gal. Keg</t>
  </si>
  <si>
    <t>C1365K</t>
  </si>
  <si>
    <t>Neutral Concentrate w/ Sand - 55 Gal. Drum</t>
  </si>
  <si>
    <t>C1365D</t>
  </si>
  <si>
    <t>Flexible Concentrate - 30 Gal. Keg</t>
  </si>
  <si>
    <t>C1455K</t>
  </si>
  <si>
    <t>Flexible Concentrate - 55 Gal. Drum</t>
  </si>
  <si>
    <t>C1455D</t>
  </si>
  <si>
    <t>PickleMaster - 5 Gal. Pail</t>
  </si>
  <si>
    <t>C1298P</t>
  </si>
  <si>
    <t>PickleMaster - 30 Gal. Keg</t>
  </si>
  <si>
    <t>C1298K</t>
  </si>
  <si>
    <t>PickleMaster - 55 Dal. Drum</t>
  </si>
  <si>
    <t>C1298D</t>
  </si>
  <si>
    <t>PickleMaster RTU - 5 Gal. Pail</t>
  </si>
  <si>
    <t>Neutral Ready Mix - 5 Gal. Pail</t>
  </si>
  <si>
    <t>Color Concentrate - Forest Green 30 Gal. Keg</t>
  </si>
  <si>
    <t>C1030K</t>
  </si>
  <si>
    <t>Color Concentrate - Forest Green 55 Gal. Drum</t>
  </si>
  <si>
    <t>C1030D</t>
  </si>
  <si>
    <t>Color Concentrate - Light Green 30 Gal. Keg</t>
  </si>
  <si>
    <t>C1050K</t>
  </si>
  <si>
    <t>Color Concentrate - Light Green 55 Gal. Drum</t>
  </si>
  <si>
    <t>C1050D</t>
  </si>
  <si>
    <t>Color Concentrate - Dark Green 30 Gal. Keg</t>
  </si>
  <si>
    <t>C1082K</t>
  </si>
  <si>
    <t>Color Concentrate - Dark Green 55 Gal. Drum</t>
  </si>
  <si>
    <t>C1082D</t>
  </si>
  <si>
    <t>Color Concentrate - Beige 30 Gal. Keg</t>
  </si>
  <si>
    <t>C1000K</t>
  </si>
  <si>
    <t>Color Concentrate - Beige 55 Gal. Drum</t>
  </si>
  <si>
    <t>C1000D</t>
  </si>
  <si>
    <t>Color Concentrate - Red 30 Gal. Keg</t>
  </si>
  <si>
    <t>C1070K</t>
  </si>
  <si>
    <t>Color Concentrate - Red 55 Gal. Drum</t>
  </si>
  <si>
    <t>C1070D</t>
  </si>
  <si>
    <t>Color Concentrate - Maroon 30 Gal. Keg</t>
  </si>
  <si>
    <t>C1060K</t>
  </si>
  <si>
    <t>Color Concentrate - Maroon 55 Gal. Drum</t>
  </si>
  <si>
    <t>C1060D</t>
  </si>
  <si>
    <t>Color Concentrate - Gray 30 Gal. Keg</t>
  </si>
  <si>
    <t>C1040K</t>
  </si>
  <si>
    <t>Color Concentrate - Gray 55 Gal. Drum</t>
  </si>
  <si>
    <t>C1040D</t>
  </si>
  <si>
    <t>Color Concentrate - Blue 30 Gal. Keg</t>
  </si>
  <si>
    <t>C1010K</t>
  </si>
  <si>
    <t>Color Concentrate - Blue 55 Gal. Drum</t>
  </si>
  <si>
    <t>C1010D</t>
  </si>
  <si>
    <t>Color Concentrate w/ Sand - Forest Green 30 Gal. Keg</t>
  </si>
  <si>
    <t>C1130K</t>
  </si>
  <si>
    <t>Color Concentrate w/ Sand - Forest Green 55 Gal. Drum</t>
  </si>
  <si>
    <t>C1130D</t>
  </si>
  <si>
    <t>Color Concentrate w/ Sand - Light Green 30 Gal. Keg</t>
  </si>
  <si>
    <t>C1150K</t>
  </si>
  <si>
    <t>Color Concentrate w/ Sand - Light Green 55 Gal. Drum</t>
  </si>
  <si>
    <t>C1150D</t>
  </si>
  <si>
    <t>Color Concentrate w/ Sand - Dark Green 30 Gal. Keg</t>
  </si>
  <si>
    <t>C1182K</t>
  </si>
  <si>
    <t>Color Concentrate w/ Sand - Dark Green 55 Gal. Drum</t>
  </si>
  <si>
    <t>C1182D</t>
  </si>
  <si>
    <t>Color Concentrate w/ Sand - Beige 30 Gal. Keg</t>
  </si>
  <si>
    <t>C1100K</t>
  </si>
  <si>
    <t>Color Concentrate w/ Sand - Beige 55 Gal. Drum</t>
  </si>
  <si>
    <t>C1100D</t>
  </si>
  <si>
    <t>Color Concentrate w/ Sand - Red 30 Gal. Keg</t>
  </si>
  <si>
    <t>C1170K</t>
  </si>
  <si>
    <t>Color Concentrate w/ Sand - Red 55 Gal. Drum</t>
  </si>
  <si>
    <t>C1170D</t>
  </si>
  <si>
    <t>Color Concentrate w/ Sand - Maroon 30 Gal. Keg</t>
  </si>
  <si>
    <t>C1160K</t>
  </si>
  <si>
    <t>Color Concentrate w/ Sand - Maroon 55 Gal. Drum</t>
  </si>
  <si>
    <t>C1160D</t>
  </si>
  <si>
    <t>Color Concentrate w/ Sand - Gray 30 Gal. Keg</t>
  </si>
  <si>
    <t>C1140K</t>
  </si>
  <si>
    <t>Color Concentrate w/ Sand - Gray 55 Gal. Drum</t>
  </si>
  <si>
    <t>C1140D</t>
  </si>
  <si>
    <t>Color Concentrate w/ Sand - Blue 30 Gal. Keg</t>
  </si>
  <si>
    <t>C1110K</t>
  </si>
  <si>
    <t>Color Concentrate w/ Sand - Blue 55 Gal. Drum</t>
  </si>
  <si>
    <t>C1110D</t>
  </si>
  <si>
    <t>Forest Green ColorPlus - 1 Gal. Pail</t>
  </si>
  <si>
    <t>C1374G</t>
  </si>
  <si>
    <t>Forest Green ColorPlus - 24 Oz. Jar</t>
  </si>
  <si>
    <t>C1374J</t>
  </si>
  <si>
    <t>Light Green ColorPlus - 1 Gal. Pail</t>
  </si>
  <si>
    <t>C1372G</t>
  </si>
  <si>
    <t>Light Green ColorPlus - 24 Oz. Jar</t>
  </si>
  <si>
    <t>C1372J</t>
  </si>
  <si>
    <t>Dark green ColorPlus - 1 Gal. Pail</t>
  </si>
  <si>
    <t>C1373G</t>
  </si>
  <si>
    <t>Dark green ColorPlus - 24 Oz. Jar</t>
  </si>
  <si>
    <t>C1373J</t>
  </si>
  <si>
    <t>Beige ColorPlus - 1 Gal. Pail</t>
  </si>
  <si>
    <t>C1378G</t>
  </si>
  <si>
    <t>Beige ColorPlus - 24 Oz. Jar</t>
  </si>
  <si>
    <t>C1378J</t>
  </si>
  <si>
    <t>Red ColorPlus - 1 Gal. Pail</t>
  </si>
  <si>
    <t>C1370G</t>
  </si>
  <si>
    <t>Red ColorPlus - 24 Oz. Jar</t>
  </si>
  <si>
    <t>C1370J</t>
  </si>
  <si>
    <t>Maroon ColorPlus - 1 Gal. Pail</t>
  </si>
  <si>
    <t>C1386G</t>
  </si>
  <si>
    <t>Maroon ColorPlus - 24 Oz. Jar</t>
  </si>
  <si>
    <t>C1386J</t>
  </si>
  <si>
    <t>Tournament Purple ColorPlus - 1 Gal. Pail</t>
  </si>
  <si>
    <t>C1388G</t>
  </si>
  <si>
    <t>Tournament Purple ColorPlus - 24 Oz. Jar</t>
  </si>
  <si>
    <t>C1388J</t>
  </si>
  <si>
    <t>Gray ColorPlus - 1 Gal. Pail</t>
  </si>
  <si>
    <t>C1380G</t>
  </si>
  <si>
    <t>Gray ColorPlus - 24 Oz. Jar</t>
  </si>
  <si>
    <t>C1380J</t>
  </si>
  <si>
    <t>Blue ColorPlus - 1 Gal. Pail</t>
  </si>
  <si>
    <t>C1384G</t>
  </si>
  <si>
    <t>Blue ColorPlus - 24 Oz. Jar</t>
  </si>
  <si>
    <t>C1384J</t>
  </si>
  <si>
    <t>Light Blue ColorPlus - 1 Gal. Pail</t>
  </si>
  <si>
    <t>C1385G</t>
  </si>
  <si>
    <t>Light Blue ColorPlus - 24 Oz. Jar</t>
  </si>
  <si>
    <t>C1385J</t>
  </si>
  <si>
    <t>Dove Gray ColorPlus - 1 Gal. Pail</t>
  </si>
  <si>
    <t>C1399G</t>
  </si>
  <si>
    <t>Dove Gray ColorPlus - 24 Oz. Jar</t>
  </si>
  <si>
    <t>C1399J</t>
  </si>
  <si>
    <t>Ice Blue ColorPlus - 1 Gal. Pail</t>
  </si>
  <si>
    <t>C1383G</t>
  </si>
  <si>
    <t>Ice Blue ColorPlus - 24 Oz. Jar</t>
  </si>
  <si>
    <t>C1383J</t>
  </si>
  <si>
    <t>Sandstone ColorPlus - 1 Gal. Pail</t>
  </si>
  <si>
    <t>C1389G</t>
  </si>
  <si>
    <t>Sandstone ColorPlus - 24 Oz. Jar</t>
  </si>
  <si>
    <t>C1389J</t>
  </si>
  <si>
    <t>Orange ColorPlus - 1 Gal. Pail</t>
  </si>
  <si>
    <t>C1379G</t>
  </si>
  <si>
    <t>Orange ColorPlus - 24 Oz. Jar</t>
  </si>
  <si>
    <t>C1379J</t>
  </si>
  <si>
    <t>Yellow ColorPlus - 1 Gal. Pail</t>
  </si>
  <si>
    <t>C1390G</t>
  </si>
  <si>
    <t>Yellow ColorPlus - 24 Oz. Jar</t>
  </si>
  <si>
    <t>C1390J</t>
  </si>
  <si>
    <t>Brite Red ColorPlus - 1 Gal. Pail</t>
  </si>
  <si>
    <t>C1392G</t>
  </si>
  <si>
    <t>Brite Red ColorPlus - 24 Oz. Jar</t>
  </si>
  <si>
    <t>C1392J</t>
  </si>
  <si>
    <t>Black Dispersion ColorPlus - 1 Gal. Pail</t>
  </si>
  <si>
    <t>C1660G</t>
  </si>
  <si>
    <t>Black Dispersion ColorPlus - 24 Oz. Jar</t>
  </si>
  <si>
    <t>C1660J</t>
  </si>
  <si>
    <t>Black Dispersion ColorPlus - 5 Gal. Pail</t>
  </si>
  <si>
    <t>C1660P</t>
  </si>
  <si>
    <t>Black Dispersion ColorPlus - 55 Gal. Drum</t>
  </si>
  <si>
    <t>C1660D</t>
  </si>
  <si>
    <t>Textured White Line Paint - 1 Gal. Jug</t>
  </si>
  <si>
    <t>Textured White Line Paint - 5 Gal. Pail</t>
  </si>
  <si>
    <t>C1620P</t>
  </si>
  <si>
    <t>Stripe Rite - 1 Gal. Jug</t>
  </si>
  <si>
    <t>Stripe Rite - 5 Gal. Pail</t>
  </si>
  <si>
    <t>C1610P</t>
  </si>
  <si>
    <t>SportWax Clear Coat - 5 Gal. Pail</t>
  </si>
  <si>
    <t>C1850P</t>
  </si>
  <si>
    <t>Acrylic Patch Binder - 5 Gal. Pail</t>
  </si>
  <si>
    <t>C1480P</t>
  </si>
  <si>
    <t>Acrylic Patch Binder - 30 Gal. Keg</t>
  </si>
  <si>
    <t>C1480K</t>
  </si>
  <si>
    <t>Acrylic Patch Binder - 55 Gal. Drum</t>
  </si>
  <si>
    <t>C1480D</t>
  </si>
  <si>
    <t>Acrylic Crack Patch - Neutral 1 Gal. Pail</t>
  </si>
  <si>
    <t>Acrylic Crack Patch - Green 1 Gal. Pail</t>
  </si>
  <si>
    <t>C1500G</t>
  </si>
  <si>
    <t>Acrylic Crack Patch - Red 1 Gal. Pail</t>
  </si>
  <si>
    <t>C1510G</t>
  </si>
  <si>
    <t>Acrylic Crack Patch - Blue 1 Gal. Pail</t>
  </si>
  <si>
    <t>C1515G</t>
  </si>
  <si>
    <t>CourtFlex Crack Sealant - Neutral 1 Gal. Jug</t>
  </si>
  <si>
    <t>CourtFlex Crack Sealant - Green 1 Gal. Jug</t>
  </si>
  <si>
    <t>C1540G</t>
  </si>
  <si>
    <t>CourtFlex Crack Sealant - Red 1 Gal. Jug</t>
  </si>
  <si>
    <t>C1550G</t>
  </si>
  <si>
    <t>CrackMagic - Neutral 1 Gal. Pail</t>
  </si>
  <si>
    <t>C1590G</t>
  </si>
  <si>
    <t>CrackMagic - Green 1 Gal. Pail</t>
  </si>
  <si>
    <t>C1570G</t>
  </si>
  <si>
    <t>CrackMagic - Red 1 Gal. Pail</t>
  </si>
  <si>
    <t>C1580G</t>
  </si>
  <si>
    <t>Clear Crack Sealant - 1 Gal. Pail</t>
  </si>
  <si>
    <t>C1530G</t>
  </si>
  <si>
    <t>Neutral SkateMaster - 30 Gal. Keg</t>
  </si>
  <si>
    <t>C1800K</t>
  </si>
  <si>
    <t>Nuetral SkateMaster - 55 Gal. Drum</t>
  </si>
  <si>
    <t>C1800D</t>
  </si>
  <si>
    <t>TrackMaster Plus - Neutral 30 Gal. Keg</t>
  </si>
  <si>
    <t>C1740K</t>
  </si>
  <si>
    <t>TrackMaster Plus - Neutral 55 Gal. Drum</t>
  </si>
  <si>
    <t>C1740D</t>
  </si>
  <si>
    <t>TrackMaster Plus - Red 30 Gal. Keg</t>
  </si>
  <si>
    <t>C1709K</t>
  </si>
  <si>
    <t>TrackMaster Plus - Red 55 Gal. Drum</t>
  </si>
  <si>
    <t>C1709D</t>
  </si>
  <si>
    <t>Lane One</t>
  </si>
  <si>
    <t>C1750P</t>
  </si>
  <si>
    <t>TrackFlex Crack Sealant</t>
  </si>
  <si>
    <t>C1760G</t>
  </si>
  <si>
    <t>Resurfacer Sand - 7080</t>
  </si>
  <si>
    <t>Color Sand - 7020</t>
  </si>
  <si>
    <t>24" Complete Squeegee - Flat</t>
  </si>
  <si>
    <t>T1277</t>
  </si>
  <si>
    <t>36" Complete Squeegee - Flat</t>
  </si>
  <si>
    <t>T1272</t>
  </si>
  <si>
    <t>48" Complete Squeegee - Flat</t>
  </si>
  <si>
    <t>T1292</t>
  </si>
  <si>
    <t>60" Complete Squeegee - Flat</t>
  </si>
  <si>
    <t>T1311</t>
  </si>
  <si>
    <t>24" Rubber Refill - Flat</t>
  </si>
  <si>
    <t>T1278</t>
  </si>
  <si>
    <t>36" Rubber Refill - Flat</t>
  </si>
  <si>
    <t>T1326</t>
  </si>
  <si>
    <t>48" Rubber Refill - Flat</t>
  </si>
  <si>
    <t>T1327</t>
  </si>
  <si>
    <t>60" Rubber Refill - Flat</t>
  </si>
  <si>
    <t>T1324</t>
  </si>
  <si>
    <t>24" Complete Squeegee - Round</t>
  </si>
  <si>
    <t>T1279</t>
  </si>
  <si>
    <t>36" Complete Squeegee - Round</t>
  </si>
  <si>
    <t>T1273</t>
  </si>
  <si>
    <t>48" Complete Squeegee - Round</t>
  </si>
  <si>
    <t>T1274</t>
  </si>
  <si>
    <t>60" Complete Squeegee - Round</t>
  </si>
  <si>
    <t>T1282</t>
  </si>
  <si>
    <t>24" Rubber Refill - Round</t>
  </si>
  <si>
    <t>T1283</t>
  </si>
  <si>
    <t>36" Rubber Refill - Round</t>
  </si>
  <si>
    <t>T1281</t>
  </si>
  <si>
    <t>48" Rubber Refill - Round</t>
  </si>
  <si>
    <t>T1301</t>
  </si>
  <si>
    <t>60" Rubber Refill - Round</t>
  </si>
  <si>
    <t>T1321</t>
  </si>
  <si>
    <t>DOC FEE</t>
  </si>
  <si>
    <t>Forest Green ColorPlus</t>
  </si>
  <si>
    <t>Light Green ColorPlus</t>
  </si>
  <si>
    <t>Dark Green ColorPlus</t>
  </si>
  <si>
    <t>Beige ColorPlus</t>
  </si>
  <si>
    <t>Maroon ColorPlus</t>
  </si>
  <si>
    <t>Tournament Purple ColorPlus</t>
  </si>
  <si>
    <t>Gray ColorPlus</t>
  </si>
  <si>
    <t>Blue ColorPlus</t>
  </si>
  <si>
    <t>Light Blue ColorPlus</t>
  </si>
  <si>
    <t>Dove Gray ColorPlus</t>
  </si>
  <si>
    <t>Ice Blue ColorPlus</t>
  </si>
  <si>
    <t>Sandstone ColorPlus</t>
  </si>
  <si>
    <t>Orange ColorPlus</t>
  </si>
  <si>
    <t>Yellow ColorPlus</t>
  </si>
  <si>
    <t>Brite Red ColorPlus</t>
  </si>
  <si>
    <t>Black Dispersion ColorPlus</t>
  </si>
  <si>
    <t>Outside Area (4,392 sq ft per court)</t>
  </si>
  <si>
    <r>
      <t xml:space="preserve">Playing Area </t>
    </r>
    <r>
      <rPr>
        <b/>
        <i/>
        <sz val="11"/>
        <color theme="1"/>
        <rFont val="Arial"/>
        <family val="2"/>
      </rPr>
      <t>(78 ft x 36 ft per court)</t>
    </r>
  </si>
  <si>
    <t>Make sure to Check Industry Standard Courts for proper dimensions and follow ASBA for Overrun requirements.</t>
  </si>
  <si>
    <r>
      <rPr>
        <b/>
        <sz val="12.5"/>
        <color theme="1"/>
        <rFont val="Aptos Narrow"/>
        <family val="2"/>
        <scheme val="minor"/>
      </rPr>
      <t xml:space="preserve">Step 1: </t>
    </r>
    <r>
      <rPr>
        <sz val="12.5"/>
        <color theme="1"/>
        <rFont val="Aptos Narrow"/>
        <family val="2"/>
        <scheme val="minor"/>
      </rPr>
      <t xml:space="preserve">Select the dimensions that you are familiar with of your court and enter it into the yellow box. 
</t>
    </r>
    <r>
      <rPr>
        <b/>
        <sz val="12.5"/>
        <color theme="1"/>
        <rFont val="Aptos Narrow"/>
        <family val="2"/>
        <scheme val="minor"/>
      </rPr>
      <t>Step 2:</t>
    </r>
    <r>
      <rPr>
        <sz val="12.5"/>
        <color theme="1"/>
        <rFont val="Aptos Narrow"/>
        <family val="2"/>
        <scheme val="minor"/>
      </rPr>
      <t xml:space="preserve"> Select the Court you are trying to build. Once selected, in the box below it, enter the amount of courts you are wanting.
</t>
    </r>
    <r>
      <rPr>
        <b/>
        <sz val="12.5"/>
        <color theme="1"/>
        <rFont val="Aptos Narrow"/>
        <family val="2"/>
        <scheme val="minor"/>
      </rPr>
      <t>Step 3:</t>
    </r>
    <r>
      <rPr>
        <sz val="12.5"/>
        <color theme="1"/>
        <rFont val="Aptos Narrow"/>
        <family val="2"/>
        <scheme val="minor"/>
      </rPr>
      <t xml:space="preserve"> Select the base of your court.
</t>
    </r>
    <r>
      <rPr>
        <b/>
        <sz val="12.5"/>
        <color theme="1"/>
        <rFont val="Aptos Narrow"/>
        <family val="2"/>
        <scheme val="minor"/>
      </rPr>
      <t>Step 4:</t>
    </r>
    <r>
      <rPr>
        <sz val="12.5"/>
        <color theme="1"/>
        <rFont val="Aptos Narrow"/>
        <family val="2"/>
        <scheme val="minor"/>
      </rPr>
      <t xml:space="preserve"> Select what you prefer the packaging of materials to be in.
</t>
    </r>
    <r>
      <rPr>
        <b/>
        <sz val="12.5"/>
        <color theme="1"/>
        <rFont val="Aptos Narrow"/>
        <family val="2"/>
        <scheme val="minor"/>
      </rPr>
      <t>Step 5:</t>
    </r>
    <r>
      <rPr>
        <sz val="12.5"/>
        <color theme="1"/>
        <rFont val="Aptos Narrow"/>
        <family val="2"/>
        <scheme val="minor"/>
      </rPr>
      <t xml:space="preserve"> Select whether you want the material to be  Ready-to-Use or Concentrate (Need to add sand and water)
</t>
    </r>
    <r>
      <rPr>
        <b/>
        <sz val="12.5"/>
        <color theme="1"/>
        <rFont val="Aptos Narrow"/>
        <family val="2"/>
        <scheme val="minor"/>
      </rPr>
      <t>Step 6:</t>
    </r>
    <r>
      <rPr>
        <sz val="12.5"/>
        <color theme="1"/>
        <rFont val="Aptos Narrow"/>
        <family val="2"/>
        <scheme val="minor"/>
      </rPr>
      <t xml:space="preserve"> Select the colors you want for the designated court areas.</t>
    </r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</si>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</sst>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&quot; sq ft&quot;"/>
    <numFmt numFmtId="165" formatCode="0&quot; sq yd&quot;"/>
    <numFmt numFmtId="166" formatCode="#,##0&quot; sq yd&quot;"/>
    <numFmt numFmtId="167" formatCode="#,##0&quot; sq ft&quot;"/>
    <numFmt numFmtId="168" formatCode="#,##0&quot; ft&quot;"/>
    <numFmt numFmtId="169" formatCode="#,##0&quot; rolls&quot;"/>
    <numFmt numFmtId="170" formatCode="#,##0&quot; - Court(s)&quot;"/>
    <numFmt numFmtId="171" formatCode="#,##0&quot; gallons&quot;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=sumArial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sz val="12.5"/>
      <color theme="1"/>
      <name val="Aptos Narrow"/>
      <family val="2"/>
      <scheme val="minor"/>
    </font>
    <font>
      <b/>
      <sz val="12.5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rgb="FFDDDDDD"/>
      </left>
      <right/>
      <top style="medium">
        <color rgb="FFDDDDDD"/>
      </top>
      <bottom style="thick">
        <color rgb="FFDDDDDD"/>
      </bottom>
      <diagonal/>
    </border>
    <border>
      <left/>
      <right/>
      <top style="medium">
        <color rgb="FFDDDDDD"/>
      </top>
      <bottom style="thick">
        <color rgb="FFDDDDDD"/>
      </bottom>
      <diagonal/>
    </border>
    <border>
      <left/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 style="thick">
        <color rgb="FFDDDDDD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thin">
        <color theme="4" tint="0.39997558519241921"/>
      </left>
      <right style="thin">
        <color theme="0"/>
      </right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149">
    <xf numFmtId="0" fontId="0" fillId="0" borderId="0" xfId="0"/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/>
    </xf>
    <xf numFmtId="0" fontId="2" fillId="3" borderId="4" xfId="1" applyFill="1" applyBorder="1"/>
    <xf numFmtId="0" fontId="2" fillId="3" borderId="5" xfId="1" applyFill="1" applyBorder="1" applyAlignment="1">
      <alignment horizontal="center" vertical="center"/>
    </xf>
    <xf numFmtId="44" fontId="0" fillId="3" borderId="5" xfId="2" applyFont="1" applyFill="1" applyBorder="1" applyAlignment="1">
      <alignment horizontal="center" vertical="center"/>
    </xf>
    <xf numFmtId="0" fontId="2" fillId="3" borderId="5" xfId="2" applyNumberFormat="1" applyFont="1" applyFill="1" applyBorder="1" applyAlignment="1">
      <alignment horizontal="center" vertical="center"/>
    </xf>
    <xf numFmtId="0" fontId="2" fillId="3" borderId="6" xfId="2" applyNumberFormat="1" applyFont="1" applyFill="1" applyBorder="1" applyAlignment="1">
      <alignment horizontal="center" vertical="center"/>
    </xf>
    <xf numFmtId="0" fontId="2" fillId="4" borderId="4" xfId="1" applyFill="1" applyBorder="1"/>
    <xf numFmtId="0" fontId="2" fillId="4" borderId="5" xfId="1" applyFill="1" applyBorder="1" applyAlignment="1">
      <alignment horizontal="center" vertical="center"/>
    </xf>
    <xf numFmtId="44" fontId="2" fillId="4" borderId="5" xfId="1" applyNumberFormat="1" applyFill="1" applyBorder="1" applyAlignment="1">
      <alignment horizontal="center" vertical="center"/>
    </xf>
    <xf numFmtId="0" fontId="2" fillId="4" borderId="5" xfId="2" applyNumberFormat="1" applyFont="1" applyFill="1" applyBorder="1" applyAlignment="1">
      <alignment horizontal="center" vertical="center"/>
    </xf>
    <xf numFmtId="0" fontId="2" fillId="4" borderId="6" xfId="2" applyNumberFormat="1" applyFont="1" applyFill="1" applyBorder="1" applyAlignment="1">
      <alignment horizontal="center" vertical="center"/>
    </xf>
    <xf numFmtId="44" fontId="2" fillId="3" borderId="5" xfId="1" applyNumberFormat="1" applyFill="1" applyBorder="1" applyAlignment="1">
      <alignment horizontal="center" vertical="center"/>
    </xf>
    <xf numFmtId="44" fontId="0" fillId="4" borderId="5" xfId="2" applyFont="1" applyFill="1" applyBorder="1"/>
    <xf numFmtId="0" fontId="2" fillId="4" borderId="7" xfId="1" applyFill="1" applyBorder="1"/>
    <xf numFmtId="0" fontId="2" fillId="4" borderId="8" xfId="1" applyFill="1" applyBorder="1" applyAlignment="1">
      <alignment horizontal="center" vertical="center"/>
    </xf>
    <xf numFmtId="44" fontId="0" fillId="4" borderId="8" xfId="2" applyFont="1" applyFill="1" applyBorder="1"/>
    <xf numFmtId="0" fontId="2" fillId="4" borderId="8" xfId="2" applyNumberFormat="1" applyFont="1" applyFill="1" applyBorder="1" applyAlignment="1">
      <alignment horizontal="center" vertical="center"/>
    </xf>
    <xf numFmtId="0" fontId="2" fillId="4" borderId="9" xfId="2" applyNumberFormat="1" applyFont="1" applyFill="1" applyBorder="1" applyAlignment="1">
      <alignment horizontal="center" vertical="center"/>
    </xf>
    <xf numFmtId="44" fontId="0" fillId="3" borderId="5" xfId="2" applyFont="1" applyFill="1" applyBorder="1"/>
    <xf numFmtId="0" fontId="2" fillId="3" borderId="7" xfId="1" applyFill="1" applyBorder="1"/>
    <xf numFmtId="0" fontId="2" fillId="3" borderId="8" xfId="1" applyFill="1" applyBorder="1" applyAlignment="1">
      <alignment horizontal="center" vertical="center"/>
    </xf>
    <xf numFmtId="44" fontId="0" fillId="3" borderId="8" xfId="2" applyFont="1" applyFill="1" applyBorder="1"/>
    <xf numFmtId="0" fontId="2" fillId="3" borderId="8" xfId="2" applyNumberFormat="1" applyFont="1" applyFill="1" applyBorder="1" applyAlignment="1">
      <alignment horizontal="center" vertical="center"/>
    </xf>
    <xf numFmtId="0" fontId="2" fillId="3" borderId="9" xfId="2" applyNumberFormat="1" applyFont="1" applyFill="1" applyBorder="1" applyAlignment="1">
      <alignment horizontal="center" vertical="center"/>
    </xf>
    <xf numFmtId="0" fontId="2" fillId="0" borderId="0" xfId="1"/>
    <xf numFmtId="0" fontId="2" fillId="0" borderId="0" xfId="2" applyNumberFormat="1" applyFont="1"/>
    <xf numFmtId="44" fontId="2" fillId="0" borderId="0" xfId="2" applyFont="1"/>
    <xf numFmtId="0" fontId="2" fillId="0" borderId="0" xfId="1" applyAlignment="1">
      <alignment horizontal="center" vertical="center"/>
    </xf>
    <xf numFmtId="0" fontId="2" fillId="0" borderId="0" xfId="1" quotePrefix="1" applyAlignment="1">
      <alignment horizontal="center" vertical="center"/>
    </xf>
    <xf numFmtId="0" fontId="0" fillId="0" borderId="0" xfId="2" applyNumberFormat="1" applyFont="1" applyAlignment="1">
      <alignment horizontal="center" vertical="center"/>
    </xf>
    <xf numFmtId="44" fontId="0" fillId="0" borderId="0" xfId="2" applyFont="1"/>
    <xf numFmtId="0" fontId="2" fillId="0" borderId="0" xfId="2" applyNumberFormat="1" applyFont="1" applyAlignment="1">
      <alignment horizontal="center" vertical="center"/>
    </xf>
    <xf numFmtId="44" fontId="0" fillId="0" borderId="0" xfId="2" applyFont="1" applyAlignment="1">
      <alignment horizontal="center" vertical="center"/>
    </xf>
    <xf numFmtId="44" fontId="2" fillId="0" borderId="0" xfId="1" applyNumberFormat="1" applyAlignment="1">
      <alignment horizontal="center" vertical="center"/>
    </xf>
    <xf numFmtId="0" fontId="2" fillId="0" borderId="0" xfId="1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0" fontId="5" fillId="0" borderId="10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2" xfId="0" applyFont="1" applyBorder="1" applyAlignment="1">
      <alignment wrapText="1"/>
    </xf>
    <xf numFmtId="0" fontId="5" fillId="0" borderId="12" xfId="0" applyFont="1" applyBorder="1" applyAlignment="1">
      <alignment horizontal="center" wrapText="1"/>
    </xf>
    <xf numFmtId="1" fontId="6" fillId="0" borderId="13" xfId="0" applyNumberFormat="1" applyFont="1" applyBorder="1" applyAlignment="1">
      <alignment horizontal="center" vertical="center" wrapText="1"/>
    </xf>
    <xf numFmtId="0" fontId="6" fillId="0" borderId="16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17" xfId="0" applyFont="1" applyBorder="1" applyAlignment="1">
      <alignment vertical="center" wrapText="1"/>
    </xf>
    <xf numFmtId="0" fontId="6" fillId="0" borderId="14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wrapText="1"/>
    </xf>
    <xf numFmtId="0" fontId="6" fillId="0" borderId="19" xfId="0" applyFont="1" applyBorder="1" applyAlignment="1">
      <alignment vertical="center" wrapText="1"/>
    </xf>
    <xf numFmtId="164" fontId="6" fillId="0" borderId="0" xfId="0" applyNumberFormat="1" applyFont="1" applyAlignment="1">
      <alignment horizontal="center" vertical="center"/>
    </xf>
    <xf numFmtId="164" fontId="6" fillId="0" borderId="20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6" fillId="0" borderId="15" xfId="0" applyNumberFormat="1" applyFont="1" applyBorder="1" applyAlignment="1">
      <alignment horizontal="center" vertical="center" wrapText="1"/>
    </xf>
    <xf numFmtId="164" fontId="6" fillId="0" borderId="13" xfId="0" applyNumberFormat="1" applyFont="1" applyBorder="1" applyAlignment="1">
      <alignment horizontal="center" vertical="center" wrapText="1"/>
    </xf>
    <xf numFmtId="169" fontId="6" fillId="0" borderId="14" xfId="0" applyNumberFormat="1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7" fontId="6" fillId="0" borderId="13" xfId="0" applyNumberFormat="1" applyFont="1" applyBorder="1" applyAlignment="1">
      <alignment horizontal="center" vertical="center" wrapText="1"/>
    </xf>
    <xf numFmtId="167" fontId="6" fillId="0" borderId="0" xfId="0" applyNumberFormat="1" applyFont="1" applyAlignment="1">
      <alignment horizontal="center" vertical="center"/>
    </xf>
    <xf numFmtId="167" fontId="6" fillId="0" borderId="20" xfId="0" applyNumberFormat="1" applyFont="1" applyBorder="1" applyAlignment="1">
      <alignment horizontal="center" vertical="center" wrapText="1"/>
    </xf>
    <xf numFmtId="3" fontId="6" fillId="0" borderId="13" xfId="0" applyNumberFormat="1" applyFont="1" applyBorder="1" applyAlignment="1">
      <alignment horizontal="center" vertical="center" wrapText="1"/>
    </xf>
    <xf numFmtId="0" fontId="2" fillId="4" borderId="21" xfId="1" applyFill="1" applyBorder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69" fontId="6" fillId="0" borderId="0" xfId="0" applyNumberFormat="1" applyFont="1" applyAlignment="1">
      <alignment horizontal="center" vertical="center" wrapText="1"/>
    </xf>
    <xf numFmtId="167" fontId="6" fillId="0" borderId="0" xfId="0" applyNumberFormat="1" applyFont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center" wrapText="1"/>
    </xf>
    <xf numFmtId="164" fontId="6" fillId="0" borderId="13" xfId="0" applyNumberFormat="1" applyFont="1" applyBorder="1" applyAlignment="1">
      <alignment vertical="center" wrapText="1"/>
    </xf>
    <xf numFmtId="165" fontId="5" fillId="0" borderId="0" xfId="0" applyNumberFormat="1" applyFont="1" applyAlignment="1">
      <alignment horizontal="center" vertical="center"/>
    </xf>
    <xf numFmtId="44" fontId="0" fillId="4" borderId="5" xfId="2" applyFont="1" applyFill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0" fillId="0" borderId="5" xfId="0" applyBorder="1" applyProtection="1">
      <protection locked="0"/>
    </xf>
    <xf numFmtId="0" fontId="0" fillId="5" borderId="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8" xfId="0" applyFill="1" applyBorder="1" applyProtection="1">
      <protection locked="0"/>
    </xf>
    <xf numFmtId="168" fontId="4" fillId="5" borderId="4" xfId="0" applyNumberFormat="1" applyFont="1" applyFill="1" applyBorder="1" applyAlignment="1" applyProtection="1">
      <alignment horizontal="center" vertical="center" wrapText="1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10" fillId="0" borderId="8" xfId="0" applyFont="1" applyBorder="1" applyAlignment="1" applyProtection="1">
      <alignment horizontal="center"/>
      <protection locked="0"/>
    </xf>
    <xf numFmtId="0" fontId="14" fillId="0" borderId="5" xfId="0" applyFont="1" applyBorder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14" fillId="0" borderId="30" xfId="0" applyFont="1" applyBorder="1" applyProtection="1">
      <protection locked="0"/>
    </xf>
    <xf numFmtId="0" fontId="0" fillId="5" borderId="30" xfId="0" applyFill="1" applyBorder="1" applyProtection="1">
      <protection locked="0"/>
    </xf>
    <xf numFmtId="0" fontId="1" fillId="5" borderId="9" xfId="0" applyFont="1" applyFill="1" applyBorder="1" applyAlignment="1" applyProtection="1">
      <alignment vertical="center" wrapText="1"/>
      <protection locked="0"/>
    </xf>
    <xf numFmtId="0" fontId="1" fillId="5" borderId="7" xfId="0" applyFont="1" applyFill="1" applyBorder="1" applyAlignment="1" applyProtection="1">
      <alignment vertical="center" wrapText="1"/>
      <protection locked="0"/>
    </xf>
    <xf numFmtId="0" fontId="1" fillId="0" borderId="29" xfId="0" applyFont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vertical="center" wrapText="1"/>
      <protection locked="0"/>
    </xf>
    <xf numFmtId="0" fontId="0" fillId="0" borderId="4" xfId="0" applyBorder="1" applyProtection="1">
      <protection locked="0"/>
    </xf>
    <xf numFmtId="0" fontId="0" fillId="5" borderId="0" xfId="0" applyFill="1" applyAlignment="1" applyProtection="1">
      <alignment vertical="center"/>
      <protection locked="0"/>
    </xf>
    <xf numFmtId="0" fontId="0" fillId="0" borderId="4" xfId="0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vertical="center"/>
      <protection locked="0"/>
    </xf>
    <xf numFmtId="0" fontId="1" fillId="5" borderId="0" xfId="0" applyFont="1" applyFill="1"/>
    <xf numFmtId="0" fontId="1" fillId="0" borderId="5" xfId="0" applyFont="1" applyBorder="1" applyAlignment="1">
      <alignment horizontal="center" vertical="center"/>
    </xf>
    <xf numFmtId="167" fontId="0" fillId="5" borderId="0" xfId="0" applyNumberFormat="1" applyFill="1" applyAlignment="1">
      <alignment horizontal="center"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70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vertical="center"/>
    </xf>
    <xf numFmtId="1" fontId="0" fillId="5" borderId="0" xfId="0" applyNumberFormat="1" applyFill="1" applyAlignment="1">
      <alignment horizontal="center" vertical="center"/>
    </xf>
    <xf numFmtId="171" fontId="0" fillId="5" borderId="0" xfId="0" applyNumberFormat="1" applyFill="1" applyAlignment="1">
      <alignment horizontal="center" vertical="center"/>
    </xf>
    <xf numFmtId="0" fontId="14" fillId="0" borderId="9" xfId="0" applyFont="1" applyBorder="1" applyProtection="1"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9" fillId="0" borderId="5" xfId="0" applyFont="1" applyBorder="1" applyProtection="1">
      <protection locked="0"/>
    </xf>
    <xf numFmtId="0" fontId="19" fillId="0" borderId="6" xfId="0" applyFont="1" applyBorder="1" applyProtection="1">
      <protection locked="0"/>
    </xf>
    <xf numFmtId="168" fontId="20" fillId="0" borderId="7" xfId="0" applyNumberFormat="1" applyFont="1" applyBorder="1" applyAlignment="1" applyProtection="1">
      <alignment horizontal="center" vertical="center" wrapText="1"/>
      <protection locked="0"/>
    </xf>
    <xf numFmtId="0" fontId="12" fillId="6" borderId="25" xfId="0" applyFont="1" applyFill="1" applyBorder="1" applyAlignment="1" applyProtection="1">
      <alignment horizontal="center" vertical="center"/>
      <protection locked="0"/>
    </xf>
    <xf numFmtId="0" fontId="12" fillId="6" borderId="26" xfId="0" applyFont="1" applyFill="1" applyBorder="1" applyAlignment="1" applyProtection="1">
      <alignment horizontal="center" vertical="center"/>
      <protection locked="0"/>
    </xf>
    <xf numFmtId="0" fontId="12" fillId="6" borderId="27" xfId="0" applyFont="1" applyFill="1" applyBorder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 wrapText="1"/>
      <protection locked="0"/>
    </xf>
    <xf numFmtId="0" fontId="1" fillId="5" borderId="32" xfId="0" applyFont="1" applyFill="1" applyBorder="1" applyAlignment="1" applyProtection="1">
      <alignment horizontal="center" vertical="center" wrapText="1"/>
      <protection locked="0"/>
    </xf>
    <xf numFmtId="0" fontId="1" fillId="5" borderId="22" xfId="0" applyFont="1" applyFill="1" applyBorder="1" applyAlignment="1" applyProtection="1">
      <alignment horizontal="center" vertical="center" wrapText="1"/>
      <protection locked="0"/>
    </xf>
    <xf numFmtId="0" fontId="1" fillId="5" borderId="0" xfId="0" applyFont="1" applyFill="1" applyAlignment="1" applyProtection="1">
      <alignment horizontal="center" vertical="center" wrapText="1"/>
      <protection locked="0"/>
    </xf>
    <xf numFmtId="0" fontId="15" fillId="5" borderId="24" xfId="0" applyFont="1" applyFill="1" applyBorder="1" applyAlignment="1">
      <alignment horizontal="center"/>
    </xf>
    <xf numFmtId="0" fontId="14" fillId="5" borderId="31" xfId="0" applyFont="1" applyFill="1" applyBorder="1" applyAlignment="1">
      <alignment horizontal="center"/>
    </xf>
    <xf numFmtId="0" fontId="16" fillId="5" borderId="0" xfId="0" applyFont="1" applyFill="1" applyAlignment="1" applyProtection="1">
      <alignment horizontal="left" vertical="top" wrapText="1"/>
      <protection locked="0"/>
    </xf>
    <xf numFmtId="0" fontId="16" fillId="5" borderId="23" xfId="0" applyFont="1" applyFill="1" applyBorder="1" applyAlignment="1" applyProtection="1">
      <alignment horizontal="left" vertical="top" wrapText="1"/>
      <protection locked="0"/>
    </xf>
    <xf numFmtId="0" fontId="5" fillId="0" borderId="10" xfId="0" applyFont="1" applyBorder="1" applyAlignment="1">
      <alignment horizontal="left" wrapText="1"/>
    </xf>
    <xf numFmtId="0" fontId="5" fillId="0" borderId="11" xfId="0" applyFont="1" applyBorder="1" applyAlignment="1">
      <alignment horizontal="left" wrapText="1"/>
    </xf>
    <xf numFmtId="0" fontId="5" fillId="0" borderId="12" xfId="0" applyFont="1" applyBorder="1" applyAlignment="1">
      <alignment horizontal="left" wrapText="1"/>
    </xf>
  </cellXfs>
  <cellStyles count="3">
    <cellStyle name="Currency 2" xfId="2" xr:uid="{E399646E-5395-45C2-BC19-45E02FD0BF8A}"/>
    <cellStyle name="Normal" xfId="0" builtinId="0"/>
    <cellStyle name="Normal 2" xfId="1" xr:uid="{BFABD359-1A16-427A-8C0B-C18653C3DFD2}"/>
  </cellStyles>
  <dxfs count="2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left style="medium">
          <color rgb="FFDDDDDD"/>
        </left>
        <top style="medium">
          <color rgb="FFDDDDDD"/>
        </top>
      </border>
    </dxf>
    <dxf>
      <numFmt numFmtId="0" formatCode="General"/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172" formatCode=";;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3" formatCode="General&quot;J&quot;"/>
    </dxf>
    <dxf>
      <fill>
        <patternFill>
          <bgColor theme="2" tint="-9.9948118533890809E-2"/>
        </patternFill>
      </fill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</border>
    </dxf>
    <dxf>
      <border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numFmt numFmtId="174" formatCode="#,##0&quot; - 1 Gallon Jug(s)&quot;"/>
    </dxf>
    <dxf>
      <numFmt numFmtId="174" formatCode="#,##0&quot; - 1 Gallon Jug(s)&quot;"/>
    </dxf>
    <dxf>
      <numFmt numFmtId="172" formatCode=";;"/>
    </dxf>
    <dxf>
      <font>
        <b/>
        <i val="0"/>
      </font>
      <numFmt numFmtId="0" formatCode="General"/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numFmt numFmtId="175" formatCode="#,##0&quot; - 5 Gallon Pail(s)&quot;"/>
    </dxf>
    <dxf>
      <numFmt numFmtId="175" formatCode="#,##0&quot; - 5 Gallon Pail(s)&quot;"/>
    </dxf>
    <dxf>
      <numFmt numFmtId="176" formatCode="#,##0&quot; - 1 Gallon Pail(s)&quot;"/>
    </dxf>
    <dxf>
      <numFmt numFmtId="175" formatCode="#,##0&quot; - 5 Gallon Pail(s)&quot;"/>
    </dxf>
    <dxf>
      <numFmt numFmtId="177" formatCode="#,##0&quot; - 24 OZ Jar(s)&quot;"/>
    </dxf>
    <dxf>
      <numFmt numFmtId="172" formatCode=";;"/>
    </dxf>
    <dxf>
      <numFmt numFmtId="177" formatCode="#,##0&quot; - 24 OZ Jar(s)&quot;"/>
    </dxf>
    <dxf>
      <numFmt numFmtId="177" formatCode="#,##0&quot; - 24 OZ Jar(s)&quot;"/>
    </dxf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numFmt numFmtId="177" formatCode="#,##0&quot; - 24 OZ Jar(s)&quot;"/>
    </dxf>
    <dxf>
      <numFmt numFmtId="175" formatCode="#,##0&quot; - 5 Gallon Pail(s)&quot;"/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0" formatCode="General"/>
      <border>
        <bottom style="thin">
          <color auto="1"/>
        </bottom>
        <vertical/>
        <horizontal/>
      </border>
    </dxf>
    <dxf>
      <numFmt numFmtId="175" formatCode="#,##0&quot; - 5 Gallon Pail(s)&quot;"/>
    </dxf>
    <dxf>
      <numFmt numFmtId="178" formatCode="#,##0&quot; - 30 Gallon Keg(s)&quot;"/>
    </dxf>
    <dxf>
      <numFmt numFmtId="179" formatCode="#,##0&quot; - 55 Gallon Drum(s)&quot;"/>
    </dxf>
    <dxf>
      <numFmt numFmtId="177" formatCode="#,##0&quot; - 24 OZ Jar(s)&quot;"/>
    </dxf>
    <dxf>
      <numFmt numFmtId="172" formatCode=";;"/>
    </dxf>
    <dxf>
      <numFmt numFmtId="172" formatCode=";;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80" formatCode="#,##0&quot; lbs&quot;"/>
    </dxf>
    <dxf>
      <numFmt numFmtId="180" formatCode="#,##0&quot; lbs&quot;"/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numFmt numFmtId="166" formatCode="#,##0&quot; sq yd&quot;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numFmt numFmtId="166" formatCode="#,##0&quot; sq yd&quot;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numFmt numFmtId="0" formatCode="General"/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numFmt numFmtId="166" formatCode="#,##0&quot; sq yd&quot;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font>
        <b/>
        <i val="0"/>
      </font>
      <numFmt numFmtId="0" formatCode="General"/>
      <fill>
        <patternFill>
          <bgColor rgb="FFFF0000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numFmt numFmtId="167" formatCode="#,##0&quot; sq ft&quot;"/>
      <border>
        <top style="thin">
          <color auto="1"/>
        </top>
        <bottom style="thin">
          <color auto="1"/>
        </bottom>
        <vertical/>
        <horizontal/>
      </border>
    </dxf>
    <dxf>
      <numFmt numFmtId="167" formatCode="#,##0&quot; sq ft&quot;"/>
      <border>
        <top style="thin">
          <color auto="1"/>
        </top>
        <bottom style="thin">
          <color auto="1"/>
        </bottom>
        <vertical/>
        <horizontal/>
      </border>
    </dxf>
    <dxf>
      <numFmt numFmtId="167" formatCode="#,##0&quot; sq ft&quot;"/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#,##0&quot; sq ft&quot;"/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border>
        <bottom style="thin">
          <color auto="1"/>
        </bottom>
        <vertical/>
        <horizontal/>
      </border>
    </dxf>
    <dxf>
      <numFmt numFmtId="0" formatCode="General"/>
      <border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numFmt numFmtId="172" formatCode=";;"/>
    </dxf>
    <dxf>
      <font>
        <b/>
        <i val="0"/>
      </font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/>
      </font>
    </dxf>
    <dxf>
      <font>
        <b/>
        <i/>
      </font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 patternType="none">
          <bgColor auto="1"/>
        </patternFill>
      </fill>
      <border>
        <left/>
        <top/>
      </border>
    </dxf>
    <dxf>
      <font>
        <b/>
        <i val="0"/>
      </font>
      <numFmt numFmtId="0" formatCode="General"/>
      <fill>
        <patternFill patternType="none">
          <bgColor auto="1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b val="0"/>
        <i val="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81" formatCode="\1"/>
    </dxf>
    <dxf>
      <fill>
        <patternFill>
          <bgColor rgb="FFFFFF00"/>
        </patternFill>
      </fill>
    </dxf>
    <dxf>
      <numFmt numFmtId="172" formatCode=";;"/>
    </dxf>
    <dxf>
      <numFmt numFmtId="172" formatCode=";;"/>
    </dxf>
    <dxf>
      <fill>
        <patternFill>
          <bgColor rgb="FFFFFF00"/>
        </patternFill>
      </fill>
    </dxf>
    <dxf>
      <numFmt numFmtId="172" formatCode=";;"/>
    </dxf>
    <dxf>
      <fill>
        <patternFill>
          <bgColor rgb="FFFFFF00"/>
        </patternFill>
      </fill>
    </dxf>
    <dxf>
      <numFmt numFmtId="172" formatCode=";;"/>
    </dxf>
    <dxf>
      <font>
        <b/>
        <i val="0"/>
      </font>
      <numFmt numFmtId="168" formatCode="#,##0&quot; ft&quot;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numFmt numFmtId="167" formatCode="#,##0&quot; sq ft&quot;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numFmt numFmtId="166" formatCode="#,##0&quot; sq yd&quot;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numFmt numFmtId="168" formatCode="#,##0&quot; ft&quot;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numFmt numFmtId="182" formatCode="#,##0&quot; sq m&quot;"/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2" formatCode=";;"/>
    </dxf>
    <dxf>
      <numFmt numFmtId="172" formatCode=";;"/>
    </dxf>
    <dxf>
      <numFmt numFmtId="172" formatCode=";;"/>
    </dxf>
    <dxf>
      <numFmt numFmtId="172" formatCode=";;"/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  <color rgb="FFEC6C62"/>
      <color rgb="FF1BC3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3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A$2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A$4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checked="Checked" firstButton="1" fmlaLink="$A$5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fmlaLink="$A$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1352550</xdr:colOff>
          <xdr:row>10</xdr:row>
          <xdr:rowOff>47625</xdr:rowOff>
        </xdr:from>
        <xdr:to>
          <xdr:col>4</xdr:col>
          <xdr:colOff>762000</xdr:colOff>
          <xdr:row>13</xdr:row>
          <xdr:rowOff>152400</xdr:rowOff>
        </xdr:to>
        <xdr:sp macro="" textlink="">
          <xdr:nvSpPr>
            <xdr:cNvPr id="7173" name="Group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Surface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180975</xdr:rowOff>
        </xdr:from>
        <xdr:to>
          <xdr:col>1</xdr:col>
          <xdr:colOff>1190625</xdr:colOff>
          <xdr:row>13</xdr:row>
          <xdr:rowOff>9525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 Concrete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11</xdr:row>
          <xdr:rowOff>9525</xdr:rowOff>
        </xdr:from>
        <xdr:to>
          <xdr:col>2</xdr:col>
          <xdr:colOff>628650</xdr:colOff>
          <xdr:row>13</xdr:row>
          <xdr:rowOff>28575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 Asphalt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1352550</xdr:colOff>
          <xdr:row>14</xdr:row>
          <xdr:rowOff>57150</xdr:rowOff>
        </xdr:from>
        <xdr:to>
          <xdr:col>3</xdr:col>
          <xdr:colOff>704850</xdr:colOff>
          <xdr:row>16</xdr:row>
          <xdr:rowOff>85725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Preferred Packaging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14</xdr:row>
          <xdr:rowOff>180975</xdr:rowOff>
        </xdr:from>
        <xdr:to>
          <xdr:col>1</xdr:col>
          <xdr:colOff>1200150</xdr:colOff>
          <xdr:row>15</xdr:row>
          <xdr:rowOff>190500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Gallon Pails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1190625</xdr:colOff>
          <xdr:row>14</xdr:row>
          <xdr:rowOff>152400</xdr:rowOff>
        </xdr:from>
        <xdr:to>
          <xdr:col>2</xdr:col>
          <xdr:colOff>790575</xdr:colOff>
          <xdr:row>15</xdr:row>
          <xdr:rowOff>161925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Gallon Kegs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14</xdr:row>
          <xdr:rowOff>161925</xdr:rowOff>
        </xdr:from>
        <xdr:to>
          <xdr:col>3</xdr:col>
          <xdr:colOff>533400</xdr:colOff>
          <xdr:row>15</xdr:row>
          <xdr:rowOff>171450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55 Gallon Drums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1352550</xdr:colOff>
          <xdr:row>16</xdr:row>
          <xdr:rowOff>180975</xdr:rowOff>
        </xdr:from>
        <xdr:to>
          <xdr:col>4</xdr:col>
          <xdr:colOff>647700</xdr:colOff>
          <xdr:row>19</xdr:row>
          <xdr:rowOff>47625</xdr:rowOff>
        </xdr:to>
        <xdr:sp macro="" textlink="">
          <xdr:nvSpPr>
            <xdr:cNvPr id="7183" name="Group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Type of Product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114300</xdr:rowOff>
        </xdr:from>
        <xdr:to>
          <xdr:col>2</xdr:col>
          <xdr:colOff>1209675</xdr:colOff>
          <xdr:row>18</xdr:row>
          <xdr:rowOff>123825</xdr:rowOff>
        </xdr:to>
        <xdr:sp macro="" textlink="">
          <xdr:nvSpPr>
            <xdr:cNvPr id="7184" name="Option 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Mix (Sand And Water already Factory Blended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17</xdr:row>
          <xdr:rowOff>114300</xdr:rowOff>
        </xdr:from>
        <xdr:to>
          <xdr:col>4</xdr:col>
          <xdr:colOff>609600</xdr:colOff>
          <xdr:row>18</xdr:row>
          <xdr:rowOff>123825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Concentrate (Need to add Sand and Water)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10</xdr:row>
          <xdr:rowOff>161925</xdr:rowOff>
        </xdr:from>
        <xdr:to>
          <xdr:col>3</xdr:col>
          <xdr:colOff>542925</xdr:colOff>
          <xdr:row>13</xdr:row>
          <xdr:rowOff>19050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Existing Acrylic on Concrete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180975</xdr:rowOff>
        </xdr:from>
        <xdr:to>
          <xdr:col>4</xdr:col>
          <xdr:colOff>342900</xdr:colOff>
          <xdr:row>3</xdr:row>
          <xdr:rowOff>123825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0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Dimensions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123825</xdr:rowOff>
        </xdr:from>
        <xdr:to>
          <xdr:col>1</xdr:col>
          <xdr:colOff>1123950</xdr:colOff>
          <xdr:row>2</xdr:row>
          <xdr:rowOff>133350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Width x Length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1</xdr:row>
          <xdr:rowOff>133350</xdr:rowOff>
        </xdr:from>
        <xdr:to>
          <xdr:col>2</xdr:col>
          <xdr:colOff>828675</xdr:colOff>
          <xdr:row>2</xdr:row>
          <xdr:rowOff>142875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Square Feet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1</xdr:row>
          <xdr:rowOff>142875</xdr:rowOff>
        </xdr:from>
        <xdr:to>
          <xdr:col>3</xdr:col>
          <xdr:colOff>457200</xdr:colOff>
          <xdr:row>2</xdr:row>
          <xdr:rowOff>152400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Square Yards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</xdr:row>
          <xdr:rowOff>133350</xdr:rowOff>
        </xdr:from>
        <xdr:to>
          <xdr:col>4</xdr:col>
          <xdr:colOff>152400</xdr:colOff>
          <xdr:row>2</xdr:row>
          <xdr:rowOff>142875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Square 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5</xdr:col>
          <xdr:colOff>0</xdr:colOff>
          <xdr:row>9</xdr:row>
          <xdr:rowOff>9525</xdr:rowOff>
        </xdr:to>
        <xdr:sp macro="" textlink="">
          <xdr:nvSpPr>
            <xdr:cNvPr id="7195" name="Group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Enter your # of Courts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104775</xdr:rowOff>
        </xdr:from>
        <xdr:to>
          <xdr:col>1</xdr:col>
          <xdr:colOff>161925</xdr:colOff>
          <xdr:row>7</xdr:row>
          <xdr:rowOff>123825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Tennis Court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6</xdr:row>
          <xdr:rowOff>104775</xdr:rowOff>
        </xdr:from>
        <xdr:to>
          <xdr:col>1</xdr:col>
          <xdr:colOff>1333500</xdr:colOff>
          <xdr:row>7</xdr:row>
          <xdr:rowOff>123825</xdr:rowOff>
        </xdr:to>
        <xdr:sp macro="" textlink="">
          <xdr:nvSpPr>
            <xdr:cNvPr id="7197" name="Option 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0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Pickleball Court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</xdr:row>
          <xdr:rowOff>104775</xdr:rowOff>
        </xdr:from>
        <xdr:to>
          <xdr:col>2</xdr:col>
          <xdr:colOff>1266825</xdr:colOff>
          <xdr:row>7</xdr:row>
          <xdr:rowOff>123825</xdr:rowOff>
        </xdr:to>
        <xdr:sp macro="" textlink="">
          <xdr:nvSpPr>
            <xdr:cNvPr id="7198" name="Option 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0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Full Basketball Court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104775</xdr:rowOff>
        </xdr:from>
        <xdr:to>
          <xdr:col>3</xdr:col>
          <xdr:colOff>1114425</xdr:colOff>
          <xdr:row>7</xdr:row>
          <xdr:rowOff>114300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Half Basketball Court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</xdr:row>
          <xdr:rowOff>95250</xdr:rowOff>
        </xdr:from>
        <xdr:to>
          <xdr:col>4</xdr:col>
          <xdr:colOff>981075</xdr:colOff>
          <xdr:row>7</xdr:row>
          <xdr:rowOff>133350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0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Total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11</xdr:row>
          <xdr:rowOff>85725</xdr:rowOff>
        </xdr:from>
        <xdr:to>
          <xdr:col>4</xdr:col>
          <xdr:colOff>666750</xdr:colOff>
          <xdr:row>12</xdr:row>
          <xdr:rowOff>104775</xdr:rowOff>
        </xdr:to>
        <xdr:sp macro="" textlink="">
          <xdr:nvSpPr>
            <xdr:cNvPr id="7201" name="Option 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0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Existing Acrylic on Asphalt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54535C2-5553-4CC4-9E21-32398894C490}" name="TennisReady" displayName="TennisReady" ref="A2:E35" totalsRowShown="0" tableBorderDxfId="91">
  <autoFilter ref="A2:E35" xr:uid="{25952BED-2F01-4E0E-B8BF-BE5DFFCF716A}"/>
  <tableColumns count="5">
    <tableColumn id="1" xr3:uid="{C13F74EB-DD53-4DEB-8915-9E645A3E1734}" name="Column1" dataDxfId="90"/>
    <tableColumn id="2" xr3:uid="{31F6AADC-0B71-4F1D-B4F6-E07112A6531D}" name="Column2" dataDxfId="89"/>
    <tableColumn id="3" xr3:uid="{A35EE8D9-E60D-4C85-A20C-9F53E610F791}" name="Column3"/>
    <tableColumn id="6" xr3:uid="{C84A94A0-CADA-4679-9F29-9995B40EDF95}" name="Column4"/>
    <tableColumn id="4" xr3:uid="{56EFAAB6-CADD-42C1-AAA7-02AEBA271735}" name="Column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952BED-2F01-4E0E-B8BF-BE5DFFCF716A}" name="TennisConc" displayName="TennisConc" ref="A2:E34" totalsRowShown="0" tableBorderDxfId="87">
  <autoFilter ref="A2:E34" xr:uid="{25952BED-2F01-4E0E-B8BF-BE5DFFCF716A}"/>
  <tableColumns count="5">
    <tableColumn id="1" xr3:uid="{DA29109C-8AC1-4BFE-9FB5-B70795589C9B}" name="Column1" dataDxfId="86"/>
    <tableColumn id="2" xr3:uid="{681E5F19-2747-432C-8C98-E82DA7F2ADD8}" name="Column2" dataDxfId="85"/>
    <tableColumn id="3" xr3:uid="{56C28866-8777-4A72-9A0E-F7B4FD1E3ADF}" name="Column3"/>
    <tableColumn id="4" xr3:uid="{D8A84D28-271F-4E01-A330-03D062BC5FCE}" name="Column4"/>
    <tableColumn id="5" xr3:uid="{36331FB8-9270-46ED-B842-9B12C73634F1}" name="Column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084CC59-7A3A-4346-B5C4-EE9721B3D99E}" name="PickleballReady" displayName="PickleballReady" ref="A2:E46" totalsRowShown="0" tableBorderDxfId="83">
  <autoFilter ref="A2:E46" xr:uid="{DAECF4AF-B69B-46BC-A7C7-56465C5E4897}"/>
  <tableColumns count="5">
    <tableColumn id="1" xr3:uid="{139872F7-C161-47EB-9594-799FE1052A42}" name="Column1" dataDxfId="82"/>
    <tableColumn id="2" xr3:uid="{98EE95EB-65A2-437C-9815-72E0879413D4}" name="Column2" dataDxfId="81"/>
    <tableColumn id="3" xr3:uid="{0AF94DD9-B5DA-4350-A7AD-018B24258D14}" name="Column3"/>
    <tableColumn id="4" xr3:uid="{E706781E-393E-4854-8C19-E04D505B392A}" name="Column4" dataDxfId="80">
      <calculatedColumnFormula>ROUNDUP(SUM(PickleballReady[[#This Row],[Column3]]/IF(Calculator!$A$2=1,5,IF(Calculator!$A$2=2,30,IF(Calculator!$A$2=3,55,"")))),0)</calculatedColumnFormula>
    </tableColumn>
    <tableColumn id="6" xr3:uid="{623DFD98-E3B8-4E7B-8555-7A7F4507DDDA}" name="Column42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AECF4AF-B69B-46BC-A7C7-56465C5E4897}" name="PickleballConc" displayName="PickleballConc" ref="A2:E44" totalsRowShown="0" tableBorderDxfId="77">
  <autoFilter ref="A2:E44" xr:uid="{DAECF4AF-B69B-46BC-A7C7-56465C5E4897}"/>
  <tableColumns count="5">
    <tableColumn id="1" xr3:uid="{91B53EE7-E8E0-475A-BC2D-E69EA5432E5A}" name="Column1" dataDxfId="76"/>
    <tableColumn id="2" xr3:uid="{AD1C9DB4-846A-4E7D-AA96-112F22EE2DBD}" name="Column2" dataDxfId="75"/>
    <tableColumn id="3" xr3:uid="{5252F541-B341-462A-8C73-7D167AB9D1A0}" name="Column3"/>
    <tableColumn id="4" xr3:uid="{2D14C6AC-09C7-4F2E-AC58-ADF23E7D92C9}" name="Column4"/>
    <tableColumn id="6" xr3:uid="{0FD41AC6-F9ED-48E5-9A8D-7BCA15A4837A}" name="Column42" dataDxfId="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C4D3F2-14BA-4DDB-973F-7B13FAB2C32F}" name="FULLBBALLREADY" displayName="FULLBBALLREADY" ref="A2:E59" totalsRowShown="0" tableBorderDxfId="72">
  <autoFilter ref="A2:E59" xr:uid="{DAECF4AF-B69B-46BC-A7C7-56465C5E4897}"/>
  <tableColumns count="5">
    <tableColumn id="1" xr3:uid="{ADEF193E-8A59-47EB-8E85-44FF05F6E1A4}" name="Column1" dataDxfId="71"/>
    <tableColumn id="2" xr3:uid="{EF0E062D-D767-4641-B6DC-809E1F431555}" name="Column2" dataDxfId="70"/>
    <tableColumn id="3" xr3:uid="{E31A0CEF-5C09-4327-8E9D-56E0B1C65A33}" name="Column3"/>
    <tableColumn id="4" xr3:uid="{B98B25E7-2813-434A-BAA1-475A49341933}" name="Column4"/>
    <tableColumn id="5" xr3:uid="{49C2A75F-1F85-4409-B10D-B556BF0D0993}" name="Column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A7A7A6-7651-4FBB-8E8C-72444691F014}" name="FULLBBALLCONC" displayName="FULLBBALLCONC" ref="A2:E54" totalsRowShown="0" tableBorderDxfId="68">
  <autoFilter ref="A2:E54" xr:uid="{DAECF4AF-B69B-46BC-A7C7-56465C5E4897}"/>
  <tableColumns count="5">
    <tableColumn id="1" xr3:uid="{C828472C-76B5-4BCD-A4BF-674C4DC6D5D3}" name="Column1" dataDxfId="67"/>
    <tableColumn id="2" xr3:uid="{04BE6D67-28CC-4F02-9810-227D232E65EE}" name="Column2" dataDxfId="66"/>
    <tableColumn id="3" xr3:uid="{F1C23624-EB8D-4C41-8248-EA7D499E38CE}" name="Column3"/>
    <tableColumn id="4" xr3:uid="{A0D2D494-A0CB-4093-8746-E497AB631B51}" name="Column4"/>
    <tableColumn id="5" xr3:uid="{30B7314E-0854-4CC5-AB98-DDC561D38DB5}" name="Column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2BEAB-FC17-4D09-8DF5-205FAF931233}" name="HALFBBALLREADY" displayName="HALFBBALLREADY" ref="A2:E53" totalsRowShown="0" tableBorderDxfId="64">
  <autoFilter ref="A2:E53" xr:uid="{BC72BEAB-FC17-4D09-8DF5-205FAF931233}"/>
  <tableColumns count="5">
    <tableColumn id="1" xr3:uid="{8F409DC2-B789-4246-ACC4-0036990F4C72}" name="Column1" dataDxfId="63"/>
    <tableColumn id="2" xr3:uid="{36A20022-1EE1-4A25-9C8E-26F64A05E1C2}" name="Column2" dataDxfId="62"/>
    <tableColumn id="3" xr3:uid="{689F1BAB-343B-4243-A77B-2047B94D6693}" name="Column3"/>
    <tableColumn id="4" xr3:uid="{3DD8799F-3441-4816-B185-50771C033C01}" name="Column4"/>
    <tableColumn id="5" xr3:uid="{B2F59FA1-FB47-4111-BB47-894ECC433EFE}" name="Column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989A6A-C76C-4FF0-8A70-AA9EA5B38A5C}" name="HALFBBALLCONC" displayName="HALFBBALLCONC" ref="A2:E49" totalsRowShown="0" tableBorderDxfId="60">
  <autoFilter ref="A2:E49" xr:uid="{DAECF4AF-B69B-46BC-A7C7-56465C5E4897}"/>
  <tableColumns count="5">
    <tableColumn id="1" xr3:uid="{B2B6E106-32BA-4087-B87F-37C85ACFD3AB}" name="Column1" dataDxfId="59"/>
    <tableColumn id="2" xr3:uid="{2990C912-E892-4A30-AEC4-78B3459407F6}" name="Column2" dataDxfId="58"/>
    <tableColumn id="3" xr3:uid="{93D488B0-2850-4E11-B76F-EFBA01D82DAD}" name="Column3"/>
    <tableColumn id="4" xr3:uid="{81098884-65DB-4AD8-94FC-4E8E8FEFCA4C}" name="Column4"/>
    <tableColumn id="5" xr3:uid="{713D5DE9-C910-4412-8F4A-B4BE9996384A}" name="Column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1E77FB5-F413-44B5-9F85-E5882BEADBE3}" name="TotalAreaReady" displayName="TotalAreaReady" ref="A2:E27" totalsRowShown="0" tableBorderDxfId="56">
  <autoFilter ref="A2:E27" xr:uid="{25952BED-2F01-4E0E-B8BF-BE5DFFCF716A}"/>
  <tableColumns count="5">
    <tableColumn id="1" xr3:uid="{0AE555A8-CFF4-4A18-AE0B-F0DBA041B9D7}" name="Column1" dataDxfId="55"/>
    <tableColumn id="2" xr3:uid="{2CFA1F93-6992-49D5-BB15-AD28AE4783F6}" name="Column2" dataDxfId="54"/>
    <tableColumn id="3" xr3:uid="{9ECD1871-1E99-493E-911C-B0D07B0E6743}" name="Column3"/>
    <tableColumn id="6" xr3:uid="{862C35B4-DB86-42B4-967F-34A4F7EECE3B}" name="Column4"/>
    <tableColumn id="4" xr3:uid="{F107325E-E2AD-4FAD-932A-74AE0A9BE9D2}" name="Column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F8849AF-F910-4BAE-816B-904FFBAC3FBF}" name="TotalAreaConc" displayName="TotalAreaConc" ref="A2:E27" totalsRowShown="0" tableBorderDxfId="52">
  <autoFilter ref="A2:E27" xr:uid="{25952BED-2F01-4E0E-B8BF-BE5DFFCF716A}"/>
  <tableColumns count="5">
    <tableColumn id="1" xr3:uid="{25D1BDC2-1D05-4B8E-9366-748049148040}" name="Column1" dataDxfId="51"/>
    <tableColumn id="2" xr3:uid="{F93901CA-7DDB-4860-9257-7A2EFFF3BD04}" name="Column2" dataDxfId="50"/>
    <tableColumn id="3" xr3:uid="{517ED452-0538-4F20-B03E-BA39A5072335}" name="Column3"/>
    <tableColumn id="4" xr3:uid="{68292834-7B32-47D3-A86F-6E06F4EDFEEF}" name="Column4"/>
    <tableColumn id="5" xr3:uid="{EBBD8299-DB06-4956-AA78-4FFCDCF7E8A0}" name="Column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51201C-6535-42CA-82EB-4AA1B0E6B553}" name="GALLON55READY" displayName="GALLON55READY" ref="A1:J15" totalsRowShown="0" headerRowDxfId="49" headerRowBorderDxfId="48" headerRowCellStyle="Normal 2">
  <autoFilter ref="A1:J15" xr:uid="{CEA369CC-4237-489B-A56A-6755B7F25D1F}"/>
  <tableColumns count="10">
    <tableColumn id="1" xr3:uid="{89594DF7-3B3B-46AD-B270-3060CE3523F0}" name="Products" dataDxfId="47" dataCellStyle="Normal 2"/>
    <tableColumn id="2" xr3:uid="{D68427EB-68DB-4080-8BBD-5B31E98EA216}" name="Item Number" dataDxfId="46" dataCellStyle="Normal 2"/>
    <tableColumn id="3" xr3:uid="{4F8C6DAF-BFDE-4535-AF0A-68E66B015FCA}" name="Concrete Coverage Rate" dataDxfId="45" dataCellStyle="Normal 2"/>
    <tableColumn id="8" xr3:uid="{966BCFF4-08DB-4B53-ABCB-632968FA9F07}" name="Asphalt Coverage Rate" dataDxfId="44" dataCellStyle="Normal 2"/>
    <tableColumn id="9" xr3:uid="{1F6CA5A3-9328-4AD0-912C-2741F421151B}" name="Existing Concrete Coverage Rate" dataDxfId="43" dataCellStyle="Normal 2"/>
    <tableColumn id="10" xr3:uid="{BF0D2BCF-63EB-4190-9F5F-DDB0F9861666}" name="Existing Asphalt Coverage Rate" dataDxfId="42" dataCellStyle="Normal 2"/>
    <tableColumn id="4" xr3:uid="{38600FA1-3711-46EB-B201-896AE1485DFC}" name="Weight" dataDxfId="41" dataCellStyle="Normal 2"/>
    <tableColumn id="5" xr3:uid="{5389D1F8-FC14-474A-B74F-7CEBE69CCFAE}" name="Price" dataDxfId="40" dataCellStyle="Currency 2"/>
    <tableColumn id="6" xr3:uid="{39407179-CF4E-4B2B-88F4-4B1F6C1B19F9}" name="Gallons" dataDxfId="39" dataCellStyle="Currency 2"/>
    <tableColumn id="7" xr3:uid="{780392C5-15CC-4E32-BFEE-0CE7F125D7A9}" name="Skid Size" dataDxfId="38" dataCellStyle="Currency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04773E-999F-4FC9-BA2A-E7943DDCC162}" name="GALLON55CONC" displayName="GALLON55CONC" ref="A1:J13" totalsRowShown="0" headerRowDxfId="37" headerRowBorderDxfId="36" headerRowCellStyle="Normal 2">
  <autoFilter ref="A1:J13" xr:uid="{CEA369CC-4237-489B-A56A-6755B7F25D1F}"/>
  <tableColumns count="10">
    <tableColumn id="1" xr3:uid="{243F6D2D-656C-4AE0-8B75-A3C4366D6C0E}" name="Products" dataDxfId="35" dataCellStyle="Normal 2"/>
    <tableColumn id="2" xr3:uid="{2A69F28C-650D-4CDA-B8B7-308D8AE308F1}" name="Item Number" dataDxfId="34" dataCellStyle="Normal 2"/>
    <tableColumn id="3" xr3:uid="{829965B0-37CB-410A-B34F-FF1EC3543F91}" name="Concrete Coverage Rate" dataDxfId="33" dataCellStyle="Normal 2"/>
    <tableColumn id="8" xr3:uid="{8615F0C5-6812-46A3-9060-CBCF2C0E6337}" name="Asphalt Coverage Rate" dataDxfId="32" dataCellStyle="Normal 2"/>
    <tableColumn id="9" xr3:uid="{97532A2D-CE11-41E3-B28A-A021649712D4}" name="Existing Concrete Coverage Rate" dataDxfId="31" dataCellStyle="Normal 2"/>
    <tableColumn id="10" xr3:uid="{615E824B-9E99-4437-9999-700229E8A024}" name="Existing Asphalt Coverage Rate" dataDxfId="30" dataCellStyle="Normal 2"/>
    <tableColumn id="4" xr3:uid="{EB2E849E-A025-4D72-B7CC-EFCDF2D720C2}" name="Weight" dataDxfId="29" dataCellStyle="Normal 2"/>
    <tableColumn id="5" xr3:uid="{921A5926-40EB-4FF3-8DAA-44C569B18437}" name="Price" dataDxfId="28" dataCellStyle="Currency 2"/>
    <tableColumn id="6" xr3:uid="{837E08FF-3A14-4BEF-9B7C-07612CDFB1B9}" name="Gallons" dataDxfId="27" dataCellStyle="Currency 2"/>
    <tableColumn id="7" xr3:uid="{DECEC240-DD75-4DF0-8870-430BC0613C63}" name="Skid Size" dataDxfId="26" dataCellStyle="Currency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B926FC-FFCE-4CBB-ABDA-89B235AC893D}" name="SportMaster_Catalog" displayName="SportMaster_Catalog" ref="A1:G150" totalsRowShown="0" headerRowDxfId="25">
  <autoFilter ref="A1:G150" xr:uid="{645881F0-A720-429C-92A9-5625C124573C}"/>
  <tableColumns count="7">
    <tableColumn id="1" xr3:uid="{46DC58DD-2F99-4B67-B949-372FD8F51536}" name="Products" dataDxfId="24"/>
    <tableColumn id="2" xr3:uid="{004D61C4-997A-477F-B660-D4ABF4A573B0}" name="Item Number" dataDxfId="23"/>
    <tableColumn id="3" xr3:uid="{3EBD17C7-5378-4DD0-9701-8D531937B374}" name="Coverage Rate"/>
    <tableColumn id="4" xr3:uid="{31BDC3A8-C462-480A-9961-B218AB2AA9A8}" name="Weight" dataDxfId="22"/>
    <tableColumn id="5" xr3:uid="{FBC15BA7-641C-4F58-9951-77B2DCD9A065}" name="Price" dataDxfId="21"/>
    <tableColumn id="6" xr3:uid="{1738D2A6-6C30-456E-AE77-01C7281707C7}" name="Gallons" dataDxfId="20"/>
    <tableColumn id="7" xr3:uid="{043267C8-9E39-4B40-902B-4712EC3C18AB}" name="Skid Size" dataDxfId="19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214893-EDED-4B19-ADE9-F7BDC4860607}" name="GALLON1" displayName="GALLON1" ref="A1:G31" totalsRowShown="0" headerRowDxfId="18" headerRowBorderDxfId="17" tableBorderDxfId="16" totalsRowBorderDxfId="15" headerRowCellStyle="Normal 2">
  <autoFilter ref="A1:G31" xr:uid="{8FFDCF28-A583-4752-AEC6-B0153BEB2462}"/>
  <tableColumns count="7">
    <tableColumn id="1" xr3:uid="{77302149-5ABA-4E7B-8065-AA241C7E8849}" name="Not Selected" dataDxfId="14" dataCellStyle="Normal 2"/>
    <tableColumn id="2" xr3:uid="{E0ECA88E-87FC-44C0-BBF8-1B6B9842E8E4}" name="Item Number" dataDxfId="13" dataCellStyle="Normal 2"/>
    <tableColumn id="3" xr3:uid="{EF070DF2-FA85-43C2-BDC0-F36D8BEE462C}" name="Coverage Rate" dataDxfId="12" dataCellStyle="Normal 2"/>
    <tableColumn id="4" xr3:uid="{6DAB35D4-B9A9-4FAF-BCE3-0D00531EA888}" name="Weight" dataDxfId="11" dataCellStyle="Normal 2"/>
    <tableColumn id="5" xr3:uid="{BC2B1A27-2B22-49E3-8787-AFAD6E3460FE}" name="Price" dataDxfId="10" dataCellStyle="Currency 2"/>
    <tableColumn id="6" xr3:uid="{0D7B8C23-51ED-4A8E-9757-A36369300DE4}" name="Gallons" dataDxfId="9" dataCellStyle="Currency 2"/>
    <tableColumn id="7" xr3:uid="{EC75EA6F-BB35-4F93-A751-CFE73479CF20}" name="Skid Size" dataDxfId="8" dataCellStyle="Currency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0B66FB-777E-47F7-B4A7-E8C5ECA82D30}" name="OZ_JARS" displayName="OZ_JARS" ref="A1:G18" totalsRowShown="0" headerRowDxfId="7" headerRowBorderDxfId="6" headerRowCellStyle="Normal 2">
  <autoFilter ref="A1:G18" xr:uid="{87D2BAC4-896F-4051-890F-E4CF86F09025}"/>
  <tableColumns count="7">
    <tableColumn id="1" xr3:uid="{6E816F23-91B7-4612-B36D-981E6D5FA123}" name="Not Selected" dataDxfId="5" dataCellStyle="Normal 2"/>
    <tableColumn id="2" xr3:uid="{AD006944-B40A-4BE4-91E3-DD2BA7D7628F}" name="Item Number" dataDxfId="4" dataCellStyle="Normal 2"/>
    <tableColumn id="3" xr3:uid="{53F403F0-4B30-45C0-B7F8-5F2CCF1ED6E7}" name="Coverage Rate" dataDxfId="3" dataCellStyle="Normal 2"/>
    <tableColumn id="4" xr3:uid="{9A57E344-1638-4BDB-8789-05CCCDA8A37E}" name="Weight" dataDxfId="2" dataCellStyle="Normal 2"/>
    <tableColumn id="5" xr3:uid="{A5F42224-C19F-49DC-A729-F75AFDF14AAB}" name="Price"/>
    <tableColumn id="6" xr3:uid="{D8DCC6D7-7E8D-46BE-978A-1EE8F6AD5414}" name="Gallons" dataDxfId="1" dataCellStyle="Currency 2"/>
    <tableColumn id="7" xr3:uid="{FDEB1F03-10C9-435B-8483-D09FB584C9AC}" name="Skid Size" dataDxfId="0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CBB3-F093-4061-B12B-C7715D33B7ED}">
  <sheetPr codeName="Sheet1">
    <pageSetUpPr fitToPage="1"/>
  </sheetPr>
  <dimension ref="A1:O71"/>
  <sheetViews>
    <sheetView zoomScale="70" zoomScaleNormal="70" workbookViewId="0">
      <selection activeCell="G27" sqref="G27"/>
    </sheetView>
  </sheetViews>
  <sheetFormatPr defaultColWidth="9.140625" defaultRowHeight="15" x14ac:dyDescent="0.25"/>
  <cols>
    <col min="1" max="1" width="16.7109375" style="86" customWidth="1"/>
    <col min="2" max="2" width="22.28515625" style="86" customWidth="1"/>
    <col min="3" max="3" width="21.85546875" style="86" customWidth="1"/>
    <col min="4" max="4" width="19.85546875" style="86" customWidth="1"/>
    <col min="5" max="5" width="17.5703125" style="86" customWidth="1"/>
    <col min="6" max="6" width="2.85546875" style="86" customWidth="1"/>
    <col min="7" max="7" width="48.42578125" style="86" customWidth="1"/>
    <col min="8" max="8" width="33.85546875" style="103" bestFit="1" customWidth="1"/>
    <col min="9" max="9" width="33" style="86" bestFit="1" customWidth="1"/>
    <col min="10" max="10" width="29.42578125" style="86" bestFit="1" customWidth="1"/>
    <col min="11" max="11" width="15.7109375" style="86" bestFit="1" customWidth="1"/>
    <col min="12" max="12" width="57.140625" style="86" customWidth="1"/>
    <col min="13" max="13" width="48" style="86" bestFit="1" customWidth="1"/>
    <col min="14" max="14" width="20.7109375" style="87" bestFit="1" customWidth="1"/>
    <col min="15" max="15" width="21.85546875" style="87" bestFit="1" customWidth="1"/>
    <col min="16" max="16" width="15.140625" style="86" customWidth="1"/>
    <col min="17" max="16384" width="9.140625" style="86"/>
  </cols>
  <sheetData>
    <row r="1" spans="1:13" ht="15" customHeight="1" x14ac:dyDescent="0.35">
      <c r="A1" s="132">
        <v>3</v>
      </c>
      <c r="B1" s="84"/>
      <c r="C1" s="84"/>
      <c r="D1" s="85"/>
      <c r="E1" s="83"/>
      <c r="F1" s="105"/>
      <c r="G1" s="105"/>
      <c r="H1" s="106"/>
      <c r="I1" s="105"/>
      <c r="J1" s="83"/>
      <c r="K1" s="83"/>
      <c r="L1" s="83"/>
    </row>
    <row r="2" spans="1:13" ht="15.75" customHeight="1" thickBot="1" x14ac:dyDescent="0.3">
      <c r="A2" s="132">
        <v>3</v>
      </c>
      <c r="B2" s="84"/>
      <c r="C2" s="84"/>
      <c r="D2" s="85"/>
      <c r="E2" s="89"/>
      <c r="F2" s="90"/>
      <c r="G2" s="115"/>
      <c r="H2" s="115"/>
      <c r="I2" s="115"/>
      <c r="J2" s="104"/>
      <c r="K2" s="88"/>
      <c r="L2" s="83"/>
      <c r="M2" s="90"/>
    </row>
    <row r="3" spans="1:13" ht="15" customHeight="1" thickBot="1" x14ac:dyDescent="0.3">
      <c r="A3" s="132">
        <v>2</v>
      </c>
      <c r="B3" s="84"/>
      <c r="C3" s="84"/>
      <c r="D3" s="85"/>
      <c r="E3" s="89"/>
      <c r="F3" s="90"/>
      <c r="G3" s="135" t="s">
        <v>0</v>
      </c>
      <c r="H3" s="136"/>
      <c r="I3" s="137"/>
      <c r="J3" s="91"/>
      <c r="K3" s="116"/>
      <c r="L3" s="117"/>
      <c r="M3" s="90"/>
    </row>
    <row r="4" spans="1:13" x14ac:dyDescent="0.25">
      <c r="A4" s="132">
        <v>2</v>
      </c>
      <c r="B4" s="92"/>
      <c r="C4" s="84"/>
      <c r="D4" s="85"/>
      <c r="E4" s="89"/>
      <c r="F4" s="90"/>
      <c r="G4" s="121" t="str" cm="1">
        <f t="array" ref="G4:K55">IF(AND(A1=2,A4=1),PickleballReady[],IF(AND(A1=2,A4=2),PickleballConc[],IF(AND(A1=1,A4=1),TennisReady[],IF(AND(A1=1,A4=2),TennisConc[],IF(AND(A1=3,A4=1),FULLBBALLREADY[],IF(AND(A1=3,A4=2),FULLBBALLCONC[],IF(AND(A1=4,A4=1),HALFBBALLREADY[],IF(AND(A1=4,A4=2),HALFBBALLCONC[],IF(AND(A1=5,A4=1),TotalAreaReady[],IF(AND(A1=5,A4=2),TotalAreaConc[],""))))))))))</f>
        <v>Square Foot</v>
      </c>
      <c r="H4" s="123">
        <v>3200</v>
      </c>
      <c r="I4" s="124">
        <v>355.55555555555554</v>
      </c>
      <c r="J4" s="125">
        <v>0</v>
      </c>
      <c r="K4" s="125">
        <v>0</v>
      </c>
      <c r="L4" s="117"/>
      <c r="M4" s="90"/>
    </row>
    <row r="5" spans="1:13" ht="15.75" customHeight="1" x14ac:dyDescent="0.25">
      <c r="A5" s="133">
        <v>1</v>
      </c>
      <c r="B5" s="121" t="str">
        <f>IF($A$5=1,"Width of Court (In Feet)",IF($A$5=2,"Square Footage of Court",IF($A$5=3,"Square Yardage of Court",IF($A$5=4,"Square Meters of Court",""))))</f>
        <v>Width of Court (In Feet)</v>
      </c>
      <c r="C5" s="93">
        <v>50</v>
      </c>
      <c r="D5" s="138" t="str">
        <f>IF($A$5=1,"Enter your Court Dimensions in the Yellow Boxes",IF($A$5=2,"Enter your Square Footage in the Yellow Box",IF($A$5=3,"Enter your Square Yardage in the Yellow Box",IF($A$5=4,"Enter your Square Meters in the Yellow Box",""))))</f>
        <v>Enter your Court Dimensions in the Yellow Boxes</v>
      </c>
      <c r="E5" s="139"/>
      <c r="F5" s="90"/>
      <c r="G5" s="121" t="str">
        <v>Number of Courts</v>
      </c>
      <c r="H5" s="126">
        <v>1</v>
      </c>
      <c r="I5" s="125">
        <v>0</v>
      </c>
      <c r="J5" s="125">
        <v>0</v>
      </c>
      <c r="K5" s="125">
        <v>0</v>
      </c>
      <c r="L5" s="117"/>
      <c r="M5" s="90"/>
    </row>
    <row r="6" spans="1:13" ht="15.75" x14ac:dyDescent="0.25">
      <c r="A6" s="130"/>
      <c r="B6" s="121" t="str">
        <f>IF($A$5=1,"Length of Court (In Feet)","")</f>
        <v>Length of Court (In Feet)</v>
      </c>
      <c r="C6" s="134">
        <v>64</v>
      </c>
      <c r="D6" s="140"/>
      <c r="E6" s="141"/>
      <c r="F6" s="90"/>
      <c r="G6" s="121" t="str">
        <v>Court</v>
      </c>
      <c r="H6" s="123">
        <v>4200</v>
      </c>
      <c r="I6" s="124">
        <v>466.66666666666669</v>
      </c>
      <c r="J6" s="125">
        <v>0</v>
      </c>
      <c r="K6" s="125">
        <v>0</v>
      </c>
      <c r="L6" s="117"/>
      <c r="M6" s="90"/>
    </row>
    <row r="7" spans="1:13" x14ac:dyDescent="0.25">
      <c r="A7" s="110"/>
      <c r="B7" s="111"/>
      <c r="C7" s="111"/>
      <c r="D7" s="111"/>
      <c r="E7" s="111"/>
      <c r="F7" s="90"/>
      <c r="G7" s="121" t="str">
        <v>Border</v>
      </c>
      <c r="H7" s="123">
        <v>0</v>
      </c>
      <c r="I7" s="124">
        <v>0</v>
      </c>
      <c r="J7" s="125">
        <v>0</v>
      </c>
      <c r="K7" s="125">
        <v>0</v>
      </c>
      <c r="L7" s="117"/>
      <c r="M7" s="90"/>
    </row>
    <row r="8" spans="1:13" x14ac:dyDescent="0.25">
      <c r="A8" s="108"/>
      <c r="B8" s="108"/>
      <c r="C8" s="108"/>
      <c r="D8" s="109"/>
      <c r="E8" s="108"/>
      <c r="F8" s="91"/>
      <c r="G8" s="127" t="str">
        <v>Three Point Area</v>
      </c>
      <c r="H8" s="128">
        <v>1224</v>
      </c>
      <c r="I8" s="128">
        <v>136</v>
      </c>
      <c r="J8" s="125">
        <v>0</v>
      </c>
      <c r="K8" s="125">
        <v>0</v>
      </c>
      <c r="L8" s="119"/>
      <c r="M8" s="90"/>
    </row>
    <row r="9" spans="1:13" x14ac:dyDescent="0.25">
      <c r="A9" s="114">
        <v>2</v>
      </c>
      <c r="B9" s="114">
        <v>2</v>
      </c>
      <c r="C9" s="114">
        <v>1</v>
      </c>
      <c r="D9" s="114">
        <v>1</v>
      </c>
      <c r="E9" s="114">
        <v>1</v>
      </c>
      <c r="F9" s="91"/>
      <c r="G9" s="127" t="str">
        <v>Key</v>
      </c>
      <c r="H9" s="128">
        <v>456</v>
      </c>
      <c r="I9" s="129">
        <v>50.666666666666664</v>
      </c>
      <c r="J9" s="125">
        <v>0</v>
      </c>
      <c r="K9" s="125">
        <v>0</v>
      </c>
      <c r="L9" s="119"/>
      <c r="M9" s="90"/>
    </row>
    <row r="10" spans="1:13" x14ac:dyDescent="0.25">
      <c r="A10" s="142" t="s">
        <v>415</v>
      </c>
      <c r="B10" s="143"/>
      <c r="C10" s="143"/>
      <c r="D10" s="143"/>
      <c r="E10" s="143"/>
      <c r="F10" s="90"/>
      <c r="G10" s="127" t="str">
        <v>Free Throw Circle</v>
      </c>
      <c r="H10" s="128">
        <v>113</v>
      </c>
      <c r="I10" s="128">
        <v>12.555555555555555</v>
      </c>
      <c r="J10" s="125">
        <v>0</v>
      </c>
      <c r="K10" s="125">
        <v>0</v>
      </c>
      <c r="L10" s="119"/>
      <c r="M10" s="90"/>
    </row>
    <row r="11" spans="1:13" ht="15" customHeight="1" x14ac:dyDescent="0.25">
      <c r="A11" s="107"/>
      <c r="B11" s="84"/>
      <c r="C11" s="84"/>
      <c r="D11" s="85"/>
      <c r="E11" s="89"/>
      <c r="F11" s="90"/>
      <c r="G11" s="127" t="str">
        <v>Center Court Circle</v>
      </c>
      <c r="H11" s="125">
        <v>113</v>
      </c>
      <c r="I11" s="128">
        <v>12.555555555555555</v>
      </c>
      <c r="J11" s="125">
        <v>0</v>
      </c>
      <c r="K11" s="125">
        <v>0</v>
      </c>
      <c r="L11" s="119"/>
      <c r="M11" s="90"/>
    </row>
    <row r="12" spans="1:13" x14ac:dyDescent="0.25">
      <c r="A12" s="107"/>
      <c r="B12" s="84"/>
      <c r="C12" s="84"/>
      <c r="D12" s="85"/>
      <c r="E12" s="89"/>
      <c r="F12" s="90"/>
      <c r="G12" s="127" t="str">
        <v>Crack Filler</v>
      </c>
      <c r="H12" s="125" t="str">
        <v>Linear Feet Per Gallon</v>
      </c>
      <c r="I12" s="128" t="str">
        <v>Recommended Width</v>
      </c>
      <c r="J12" s="125" t="str">
        <v>Disclaimer</v>
      </c>
      <c r="K12" s="125">
        <v>0</v>
      </c>
      <c r="L12" s="120"/>
      <c r="M12" s="90"/>
    </row>
    <row r="13" spans="1:13" x14ac:dyDescent="0.25">
      <c r="A13" s="107"/>
      <c r="B13" s="84"/>
      <c r="C13" s="84"/>
      <c r="D13" s="85"/>
      <c r="E13" s="89"/>
      <c r="F13" s="90"/>
      <c r="G13" s="127" t="str">
        <v>Acrylic Crack Patch</v>
      </c>
      <c r="H13" s="125" t="str">
        <v>75 - 150 feet of Cracks</v>
      </c>
      <c r="I13" s="128" t="str">
        <v>For Cracks up to 1" wide</v>
      </c>
      <c r="J13" s="125" t="str">
        <v xml:space="preserve">These coverage rates may vary </v>
      </c>
      <c r="K13" s="125">
        <v>0</v>
      </c>
      <c r="L13" s="120"/>
      <c r="M13" s="90"/>
    </row>
    <row r="14" spans="1:13" x14ac:dyDescent="0.25">
      <c r="A14" s="107"/>
      <c r="B14" s="84"/>
      <c r="C14" s="84"/>
      <c r="D14" s="85"/>
      <c r="E14" s="89"/>
      <c r="F14" s="90"/>
      <c r="G14" s="127" t="str">
        <v>CrackMagic</v>
      </c>
      <c r="H14" s="125" t="str">
        <v>75 - 150 feet of Cracks</v>
      </c>
      <c r="I14" s="128" t="str">
        <v>For Cracks up to 1/2" wide</v>
      </c>
      <c r="J14" s="125" t="str">
        <v xml:space="preserve">depending on width as well as </v>
      </c>
      <c r="K14" s="125">
        <v>0</v>
      </c>
      <c r="L14" s="120"/>
      <c r="M14" s="90"/>
    </row>
    <row r="15" spans="1:13" ht="15" customHeight="1" x14ac:dyDescent="0.25">
      <c r="A15" s="107"/>
      <c r="B15" s="84"/>
      <c r="C15" s="84"/>
      <c r="D15" s="85"/>
      <c r="E15" s="89"/>
      <c r="F15" s="90"/>
      <c r="G15" s="127" t="str">
        <v>CourtFlex</v>
      </c>
      <c r="H15" s="125" t="str">
        <v>150 - 200 feet of Cracks</v>
      </c>
      <c r="I15" s="128" t="str">
        <v>For Cracks up to 1/2" wide</v>
      </c>
      <c r="J15" s="125" t="str">
        <v>depth of the cracks</v>
      </c>
      <c r="K15" s="125">
        <v>0</v>
      </c>
      <c r="L15" s="120"/>
      <c r="M15" s="90"/>
    </row>
    <row r="16" spans="1:13" ht="15.75" customHeight="1" x14ac:dyDescent="0.25">
      <c r="A16" s="83"/>
      <c r="B16" s="84"/>
      <c r="C16" s="84"/>
      <c r="D16" s="85"/>
      <c r="E16" s="89" t="s">
        <v>417</v>
      </c>
      <c r="F16" s="90"/>
      <c r="G16" s="127" t="str">
        <v>Total Area</v>
      </c>
      <c r="H16" s="125" t="str">
        <v>Coats</v>
      </c>
      <c r="I16" s="128" t="str">
        <v>Gallons Needed</v>
      </c>
      <c r="J16" s="125" t="str">
        <v>Total Packaging Needed</v>
      </c>
      <c r="K16" s="125" t="str">
        <v>Item Number</v>
      </c>
      <c r="L16" s="120"/>
      <c r="M16" s="90"/>
    </row>
    <row r="17" spans="1:13" x14ac:dyDescent="0.25">
      <c r="A17" s="83"/>
      <c r="B17" s="84"/>
      <c r="C17" s="84"/>
      <c r="D17" s="85"/>
      <c r="E17" s="89"/>
      <c r="F17" s="90"/>
      <c r="G17" s="127" t="str">
        <v>Acrylic Adhesion Promoter</v>
      </c>
      <c r="H17" s="125" t="str">
        <v/>
      </c>
      <c r="I17" s="128" t="str">
        <v/>
      </c>
      <c r="J17" s="125" t="str">
        <v/>
      </c>
      <c r="K17" s="125" t="str">
        <v>C1650D</v>
      </c>
      <c r="L17" s="120"/>
      <c r="M17" s="90"/>
    </row>
    <row r="18" spans="1:13" x14ac:dyDescent="0.25">
      <c r="A18" s="83"/>
      <c r="B18" s="84"/>
      <c r="C18" s="84"/>
      <c r="D18" s="85"/>
      <c r="E18" s="89"/>
      <c r="F18" s="90"/>
      <c r="G18" s="127" t="str">
        <v>Acrylic Resurfacer</v>
      </c>
      <c r="H18" s="125">
        <v>2</v>
      </c>
      <c r="I18" s="128">
        <v>128</v>
      </c>
      <c r="J18" s="125">
        <v>3</v>
      </c>
      <c r="K18" s="125" t="str">
        <v>C1300D</v>
      </c>
      <c r="L18" s="120"/>
      <c r="M18" s="90"/>
    </row>
    <row r="19" spans="1:13" ht="16.5" customHeight="1" x14ac:dyDescent="0.25">
      <c r="A19" s="83"/>
      <c r="B19" s="84"/>
      <c r="C19" s="84"/>
      <c r="D19" s="85"/>
      <c r="E19" s="89"/>
      <c r="F19" s="90"/>
      <c r="G19" s="127" t="str">
        <v>Resurfacer Sand (50-60 Mesh)</v>
      </c>
      <c r="H19" s="125">
        <v>0</v>
      </c>
      <c r="I19" s="128">
        <v>2250</v>
      </c>
      <c r="J19" s="125" t="str">
        <v>45 - 50 lbs. Bags</v>
      </c>
      <c r="K19" s="125" t="str">
        <v>R1020</v>
      </c>
      <c r="L19" s="120"/>
      <c r="M19" s="90"/>
    </row>
    <row r="20" spans="1:13" ht="15.75" customHeight="1" x14ac:dyDescent="0.25">
      <c r="A20" s="83"/>
      <c r="C20" s="112"/>
      <c r="D20" s="113"/>
      <c r="E20" s="89"/>
      <c r="F20" s="90"/>
      <c r="G20" s="127" t="str">
        <v>Court</v>
      </c>
      <c r="H20" s="125" t="str">
        <v>Coats</v>
      </c>
      <c r="I20" s="128" t="str">
        <v>Gallons Needed</v>
      </c>
      <c r="J20" s="125" t="str">
        <v>Total Packaging Needed</v>
      </c>
      <c r="K20" s="125" t="str">
        <v>Item Number</v>
      </c>
      <c r="L20" s="120"/>
      <c r="M20" s="90"/>
    </row>
    <row r="21" spans="1:13" ht="15" customHeight="1" x14ac:dyDescent="0.25">
      <c r="A21" s="83"/>
      <c r="B21" s="122" t="str">
        <f>IF($A$1=1,"Outside Area",IF($A$1=2,"Total Area (Outside Area)",IF($A$1=3,"Court",IF($A$1=4,"Court",IF($A$1=5,"Total Area","")))))</f>
        <v>Court</v>
      </c>
      <c r="C21" s="144" t="s">
        <v>416</v>
      </c>
      <c r="D21" s="145"/>
      <c r="E21" s="89"/>
      <c r="F21" s="90"/>
      <c r="G21" s="127" t="str">
        <v>Neutral Concentrate</v>
      </c>
      <c r="H21" s="125">
        <v>2</v>
      </c>
      <c r="I21" s="128">
        <v>66</v>
      </c>
      <c r="J21" s="125">
        <v>2</v>
      </c>
      <c r="K21" s="125" t="str">
        <v>C1360D</v>
      </c>
      <c r="L21" s="120"/>
      <c r="M21" s="90"/>
    </row>
    <row r="22" spans="1:13" ht="15" customHeight="1" x14ac:dyDescent="0.25">
      <c r="A22" s="83"/>
      <c r="B22" s="131" t="s">
        <v>405</v>
      </c>
      <c r="C22" s="144"/>
      <c r="D22" s="145"/>
      <c r="E22" s="89"/>
      <c r="F22" s="90"/>
      <c r="G22" s="127" t="str">
        <v>Color Sand (80-90 Mesh)</v>
      </c>
      <c r="H22" s="125">
        <v>0</v>
      </c>
      <c r="I22" s="128">
        <v>800</v>
      </c>
      <c r="J22" s="125" t="str">
        <v>16 - 50 lbs. Bags</v>
      </c>
      <c r="K22" s="125" t="str">
        <v>R1010</v>
      </c>
      <c r="L22" s="120"/>
      <c r="M22" s="90"/>
    </row>
    <row r="23" spans="1:13" x14ac:dyDescent="0.25">
      <c r="A23" s="83"/>
      <c r="B23" s="122" t="str">
        <f>IF($A$1=1,"Playing Area",IF($A$1=2,"Service Area",IF($A$1=3,"Border",IF($A$1=4,"Border",""))))</f>
        <v>Border</v>
      </c>
      <c r="C23" s="144"/>
      <c r="D23" s="145"/>
      <c r="E23" s="89"/>
      <c r="F23" s="90"/>
      <c r="G23" s="127" t="str">
        <v>Light Blue ColorPlus</v>
      </c>
      <c r="H23" s="125">
        <v>0</v>
      </c>
      <c r="I23" s="128">
        <v>0</v>
      </c>
      <c r="J23" s="125" t="str">
        <v>8 - 1 Gallon Pail(s)</v>
      </c>
      <c r="K23" s="125" t="str">
        <v>C1385G</v>
      </c>
      <c r="L23" s="120"/>
      <c r="M23" s="90"/>
    </row>
    <row r="24" spans="1:13" x14ac:dyDescent="0.25">
      <c r="A24" s="83"/>
      <c r="B24" s="131" t="s">
        <v>404</v>
      </c>
      <c r="C24" s="144"/>
      <c r="D24" s="145"/>
      <c r="E24" s="89"/>
      <c r="F24" s="90"/>
      <c r="G24" s="127" t="str">
        <v>Border</v>
      </c>
      <c r="H24" s="125" t="str">
        <v>Coats</v>
      </c>
      <c r="I24" s="128" t="str">
        <v>Gallons Needed</v>
      </c>
      <c r="J24" s="125" t="str">
        <v>Total Packaging Needed</v>
      </c>
      <c r="K24" s="125" t="str">
        <v>Item Number</v>
      </c>
      <c r="L24" s="120"/>
      <c r="M24" s="90"/>
    </row>
    <row r="25" spans="1:13" ht="15" customHeight="1" x14ac:dyDescent="0.25">
      <c r="A25" s="83"/>
      <c r="B25" s="122" t="str">
        <f>IF($A$1=2,"Kitchen Area",IF($A$1=3,"Three Point Area",IF($A$1=4,"Three Point Area","")))</f>
        <v>Three Point Area</v>
      </c>
      <c r="C25" s="144"/>
      <c r="D25" s="145"/>
      <c r="E25" s="89"/>
      <c r="F25" s="90"/>
      <c r="G25" s="127" t="str">
        <v>Neutral Concentrate</v>
      </c>
      <c r="H25" s="125">
        <v>2</v>
      </c>
      <c r="I25" s="128">
        <v>0</v>
      </c>
      <c r="J25" s="125">
        <v>0</v>
      </c>
      <c r="K25" s="125" t="str">
        <v>C1360D</v>
      </c>
      <c r="L25" s="120"/>
      <c r="M25" s="90"/>
    </row>
    <row r="26" spans="1:13" x14ac:dyDescent="0.25">
      <c r="A26" s="83"/>
      <c r="B26" s="131" t="s">
        <v>404</v>
      </c>
      <c r="C26" s="144"/>
      <c r="D26" s="145"/>
      <c r="E26" s="89"/>
      <c r="F26" s="90"/>
      <c r="G26" s="127" t="str">
        <v>Color Sand (80-90 Mesh)</v>
      </c>
      <c r="H26" s="125">
        <v>0</v>
      </c>
      <c r="I26" s="128">
        <v>0</v>
      </c>
      <c r="J26" s="125" t="str">
        <v>0 - 50 lbs. Bags</v>
      </c>
      <c r="K26" s="125" t="str">
        <v>R1010</v>
      </c>
      <c r="L26" s="120"/>
      <c r="M26" s="90"/>
    </row>
    <row r="27" spans="1:13" x14ac:dyDescent="0.25">
      <c r="A27" s="83"/>
      <c r="B27" s="122" t="str">
        <f>IF($A$1=3,"Key",IF($A$1=4,"Key",""))</f>
        <v>Key</v>
      </c>
      <c r="C27" s="144"/>
      <c r="D27" s="145"/>
      <c r="E27" s="89"/>
      <c r="F27" s="90"/>
      <c r="G27" s="127" t="str">
        <v>Blue ColorPlus</v>
      </c>
      <c r="H27" s="125">
        <v>0</v>
      </c>
      <c r="I27" s="128">
        <v>0</v>
      </c>
      <c r="J27" s="125" t="str">
        <v>0 - 1 Gallon Pail(s)</v>
      </c>
      <c r="K27" s="125" t="str">
        <v>C1384G</v>
      </c>
      <c r="L27" s="120"/>
      <c r="M27" s="90"/>
    </row>
    <row r="28" spans="1:13" x14ac:dyDescent="0.25">
      <c r="A28" s="83"/>
      <c r="B28" s="131" t="s">
        <v>405</v>
      </c>
      <c r="C28" s="144"/>
      <c r="D28" s="145"/>
      <c r="E28" s="89"/>
      <c r="F28" s="90"/>
      <c r="G28" s="127" t="str">
        <v>Three Point Area</v>
      </c>
      <c r="H28" s="125" t="str">
        <v>Coats</v>
      </c>
      <c r="I28" s="128" t="str">
        <v>Gallons Needed</v>
      </c>
      <c r="J28" s="125" t="str">
        <v>Total Packaging Needed</v>
      </c>
      <c r="K28" s="125" t="str">
        <v>Item Number</v>
      </c>
      <c r="L28" s="120"/>
      <c r="M28" s="90"/>
    </row>
    <row r="29" spans="1:13" x14ac:dyDescent="0.25">
      <c r="A29" s="83"/>
      <c r="B29" s="122" t="str">
        <f>IF($A$1=3,"Free Throw Circle",IF($A$1=4,"Free Throw Circle",""))</f>
        <v>Free Throw Circle</v>
      </c>
      <c r="C29" s="144"/>
      <c r="D29" s="145"/>
      <c r="E29" s="89"/>
      <c r="F29" s="90"/>
      <c r="G29" s="127" t="str">
        <v>Neutral Concentrate</v>
      </c>
      <c r="H29" s="125">
        <v>2</v>
      </c>
      <c r="I29" s="128">
        <v>20</v>
      </c>
      <c r="J29" s="125">
        <v>1</v>
      </c>
      <c r="K29" s="125" t="str">
        <v>C1360D</v>
      </c>
      <c r="L29" s="120"/>
      <c r="M29" s="90"/>
    </row>
    <row r="30" spans="1:13" x14ac:dyDescent="0.25">
      <c r="A30" s="83"/>
      <c r="B30" s="131" t="s">
        <v>404</v>
      </c>
      <c r="C30" s="144"/>
      <c r="D30" s="145"/>
      <c r="E30" s="89"/>
      <c r="F30" s="90"/>
      <c r="G30" s="127" t="str">
        <v>Color Sand (80-90 Mesh)</v>
      </c>
      <c r="H30" s="125">
        <v>0</v>
      </c>
      <c r="I30" s="128">
        <v>400</v>
      </c>
      <c r="J30" s="125" t="str">
        <v>8 - 50 lbs. Bags</v>
      </c>
      <c r="K30" s="125" t="str">
        <v>R1010</v>
      </c>
      <c r="L30" s="120"/>
      <c r="M30" s="90"/>
    </row>
    <row r="31" spans="1:13" x14ac:dyDescent="0.25">
      <c r="A31" s="83"/>
      <c r="B31" s="122" t="str">
        <f>IF($A$1=3,"Center Court Circle","")</f>
        <v>Center Court Circle</v>
      </c>
      <c r="C31" s="144"/>
      <c r="D31" s="145"/>
      <c r="E31" s="89"/>
      <c r="F31" s="90"/>
      <c r="G31" s="127" t="str">
        <v>Blue ColorPlus</v>
      </c>
      <c r="H31" s="125">
        <v>0</v>
      </c>
      <c r="I31" s="128">
        <v>0</v>
      </c>
      <c r="J31" s="125" t="str">
        <v>4 - 1 Gallon Pail(s)</v>
      </c>
      <c r="K31" s="125" t="str">
        <v>C1384G</v>
      </c>
      <c r="L31" s="120"/>
      <c r="M31" s="90"/>
    </row>
    <row r="32" spans="1:13" x14ac:dyDescent="0.25">
      <c r="A32" s="83"/>
      <c r="B32" s="131" t="s">
        <v>404</v>
      </c>
      <c r="C32" s="144"/>
      <c r="D32" s="145"/>
      <c r="E32" s="89"/>
      <c r="F32" s="90"/>
      <c r="G32" s="127" t="str">
        <v>Key</v>
      </c>
      <c r="H32" s="125" t="str">
        <v>Coats</v>
      </c>
      <c r="I32" s="128" t="str">
        <v>Gallons Needed</v>
      </c>
      <c r="J32" s="125" t="str">
        <v>Total Packaging Needed</v>
      </c>
      <c r="K32" s="125" t="str">
        <v>Item Number</v>
      </c>
      <c r="L32" s="120"/>
      <c r="M32" s="90"/>
    </row>
    <row r="33" spans="1:13" x14ac:dyDescent="0.25">
      <c r="A33" s="83"/>
      <c r="B33" s="95"/>
      <c r="C33" s="144"/>
      <c r="D33" s="145"/>
      <c r="E33" s="89"/>
      <c r="F33" s="90"/>
      <c r="G33" s="127" t="str">
        <v>Neutral Concentrate</v>
      </c>
      <c r="H33" s="125">
        <v>2</v>
      </c>
      <c r="I33" s="128">
        <v>8</v>
      </c>
      <c r="J33" s="125">
        <v>1</v>
      </c>
      <c r="K33" s="125" t="str">
        <v>C1360D</v>
      </c>
      <c r="L33" s="120"/>
      <c r="M33" s="90"/>
    </row>
    <row r="34" spans="1:13" x14ac:dyDescent="0.25">
      <c r="A34" s="83"/>
      <c r="B34" s="97"/>
      <c r="C34" s="144"/>
      <c r="D34" s="145"/>
      <c r="E34" s="89"/>
      <c r="F34" s="90"/>
      <c r="G34" s="127" t="str">
        <v>Color Sand (80-90 Mesh)</v>
      </c>
      <c r="H34" s="125">
        <v>0</v>
      </c>
      <c r="I34" s="128">
        <v>400</v>
      </c>
      <c r="J34" s="125" t="str">
        <v>8 - 50 lbs. Bags</v>
      </c>
      <c r="K34" s="125" t="str">
        <v>R1010</v>
      </c>
      <c r="L34" s="120"/>
      <c r="M34" s="90"/>
    </row>
    <row r="35" spans="1:13" x14ac:dyDescent="0.25">
      <c r="A35" s="83"/>
      <c r="B35" s="95"/>
      <c r="C35" s="144"/>
      <c r="D35" s="145"/>
      <c r="E35" s="89"/>
      <c r="F35" s="90"/>
      <c r="G35" s="127" t="str">
        <v>Light Blue ColorPlus</v>
      </c>
      <c r="H35" s="125">
        <v>0</v>
      </c>
      <c r="I35" s="128">
        <v>0</v>
      </c>
      <c r="J35" s="125" t="str">
        <v>4 - 1 Gallon Pail(s)</v>
      </c>
      <c r="K35" s="125" t="str">
        <v>C1385G</v>
      </c>
      <c r="L35" s="120"/>
      <c r="M35" s="90"/>
    </row>
    <row r="36" spans="1:13" x14ac:dyDescent="0.25">
      <c r="A36" s="83"/>
      <c r="B36" s="97" t="s">
        <v>417</v>
      </c>
      <c r="C36" s="144"/>
      <c r="D36" s="145"/>
      <c r="E36" s="89"/>
      <c r="F36" s="90"/>
      <c r="G36" s="127" t="str">
        <v>Free Throw Circle</v>
      </c>
      <c r="H36" s="125" t="str">
        <v>Coats</v>
      </c>
      <c r="I36" s="128" t="str">
        <v>Gallons Needed</v>
      </c>
      <c r="J36" s="125" t="str">
        <v>Total Packaging Needed</v>
      </c>
      <c r="K36" s="125" t="str">
        <v>Item Number</v>
      </c>
      <c r="L36" s="120"/>
      <c r="M36" s="90"/>
    </row>
    <row r="37" spans="1:13" x14ac:dyDescent="0.25">
      <c r="A37" s="83"/>
      <c r="B37" s="96"/>
      <c r="C37" s="144"/>
      <c r="D37" s="145"/>
      <c r="E37" s="89"/>
      <c r="F37" s="90"/>
      <c r="G37" s="127" t="str">
        <v>Neutral Concentrate</v>
      </c>
      <c r="H37" s="125">
        <v>2</v>
      </c>
      <c r="I37" s="128">
        <v>2</v>
      </c>
      <c r="J37" s="125">
        <v>1</v>
      </c>
      <c r="K37" s="125" t="str">
        <v>C1360D</v>
      </c>
      <c r="L37" s="120"/>
      <c r="M37" s="90"/>
    </row>
    <row r="38" spans="1:13" x14ac:dyDescent="0.25">
      <c r="B38" s="87"/>
      <c r="C38" s="144"/>
      <c r="D38" s="145"/>
      <c r="E38" s="89"/>
      <c r="F38" s="90"/>
      <c r="G38" s="127" t="str">
        <v>Color Sand (80-90 Mesh)</v>
      </c>
      <c r="H38" s="125">
        <v>0</v>
      </c>
      <c r="I38" s="128">
        <v>400</v>
      </c>
      <c r="J38" s="125" t="str">
        <v>8 - 50 lbs. Bags</v>
      </c>
      <c r="K38" s="125" t="str">
        <v>R1010</v>
      </c>
      <c r="L38" s="120"/>
      <c r="M38" s="90"/>
    </row>
    <row r="39" spans="1:13" x14ac:dyDescent="0.25">
      <c r="B39" s="87"/>
      <c r="C39" s="144"/>
      <c r="D39" s="145"/>
      <c r="E39" s="89"/>
      <c r="F39" s="90"/>
      <c r="G39" s="127" t="str">
        <v>Blue ColorPlus</v>
      </c>
      <c r="H39" s="125">
        <v>0</v>
      </c>
      <c r="I39" s="128">
        <v>0</v>
      </c>
      <c r="J39" s="125" t="str">
        <v>4 - 1 Gallon Pail(s)</v>
      </c>
      <c r="K39" s="125" t="str">
        <v>C1384G</v>
      </c>
      <c r="L39" s="120"/>
      <c r="M39" s="90"/>
    </row>
    <row r="40" spans="1:13" x14ac:dyDescent="0.25">
      <c r="B40" s="87"/>
      <c r="C40" s="144"/>
      <c r="D40" s="145"/>
      <c r="E40" s="89"/>
      <c r="F40" s="90"/>
      <c r="G40" s="127" t="str">
        <v>Center Court Circle</v>
      </c>
      <c r="H40" s="125" t="str">
        <v>Coats</v>
      </c>
      <c r="I40" s="128" t="str">
        <v>Gallons Needed</v>
      </c>
      <c r="J40" s="125" t="str">
        <v>Total Packaging Needed</v>
      </c>
      <c r="K40" s="125" t="str">
        <v>Item Number</v>
      </c>
      <c r="L40" s="120"/>
      <c r="M40" s="90"/>
    </row>
    <row r="41" spans="1:13" x14ac:dyDescent="0.25">
      <c r="B41" s="87"/>
      <c r="C41" s="144"/>
      <c r="D41" s="145"/>
      <c r="E41" s="89"/>
      <c r="F41" s="90"/>
      <c r="G41" s="127" t="str">
        <v>Neutral Concentrate</v>
      </c>
      <c r="H41" s="125">
        <v>2</v>
      </c>
      <c r="I41" s="128">
        <v>2</v>
      </c>
      <c r="J41" s="125">
        <v>1</v>
      </c>
      <c r="K41" s="125" t="str">
        <v>C1360D</v>
      </c>
      <c r="L41" s="120"/>
      <c r="M41" s="90"/>
    </row>
    <row r="42" spans="1:13" x14ac:dyDescent="0.25">
      <c r="B42" s="87"/>
      <c r="C42" s="144"/>
      <c r="D42" s="145"/>
      <c r="E42" s="89"/>
      <c r="F42" s="90"/>
      <c r="G42" s="127" t="str">
        <v>Color Sand (80-90 Mesh)</v>
      </c>
      <c r="H42" s="125">
        <v>0</v>
      </c>
      <c r="I42" s="128">
        <v>400</v>
      </c>
      <c r="J42" s="125" t="str">
        <v>8 - 50 lbs. Bags</v>
      </c>
      <c r="K42" s="125" t="str">
        <v>R1010</v>
      </c>
      <c r="L42" s="120"/>
      <c r="M42" s="90"/>
    </row>
    <row r="43" spans="1:13" x14ac:dyDescent="0.25">
      <c r="B43" s="87"/>
      <c r="C43" s="87"/>
      <c r="E43" s="89"/>
      <c r="F43" s="90"/>
      <c r="G43" s="127" t="str">
        <v>Blue ColorPlus</v>
      </c>
      <c r="H43" s="125">
        <v>0</v>
      </c>
      <c r="I43" s="128">
        <v>0</v>
      </c>
      <c r="J43" s="125" t="str">
        <v>4 - 1 Gallon Pail(s)</v>
      </c>
      <c r="K43" s="125" t="str">
        <v>C1384G</v>
      </c>
      <c r="L43" s="120"/>
      <c r="M43" s="90"/>
    </row>
    <row r="44" spans="1:13" x14ac:dyDescent="0.25">
      <c r="B44" s="87"/>
      <c r="C44" s="98"/>
      <c r="E44" s="89"/>
      <c r="F44" s="90"/>
      <c r="G44" s="127" t="str">
        <v>ProCushion Layers (Optional)</v>
      </c>
      <c r="H44" s="125" t="str">
        <v>Coats</v>
      </c>
      <c r="I44" s="128" t="str">
        <v>Gallons Needed</v>
      </c>
      <c r="J44" s="125" t="str">
        <v>Total Packaging Needed</v>
      </c>
      <c r="K44" s="125" t="str">
        <v>Item Number</v>
      </c>
      <c r="L44" s="120"/>
      <c r="M44" s="90"/>
    </row>
    <row r="45" spans="1:13" x14ac:dyDescent="0.25">
      <c r="B45" s="87"/>
      <c r="C45" s="87"/>
      <c r="E45" s="89"/>
      <c r="F45" s="90"/>
      <c r="G45" s="127" t="str">
        <v>Standard System</v>
      </c>
      <c r="H45" s="125">
        <v>0</v>
      </c>
      <c r="I45" s="128">
        <v>0</v>
      </c>
      <c r="J45" s="125">
        <v>0</v>
      </c>
      <c r="K45" s="125">
        <v>0</v>
      </c>
      <c r="L45" s="120"/>
      <c r="M45" s="90"/>
    </row>
    <row r="46" spans="1:13" x14ac:dyDescent="0.25">
      <c r="B46" s="87"/>
      <c r="E46" s="89"/>
      <c r="F46" s="90"/>
      <c r="G46" s="127" t="str">
        <v>CushionMaster II (Coarse Rubber)</v>
      </c>
      <c r="H46" s="125">
        <v>3</v>
      </c>
      <c r="I46" s="128">
        <v>160</v>
      </c>
      <c r="J46" s="125">
        <v>3</v>
      </c>
      <c r="K46" s="125" t="str">
        <v>C1460D</v>
      </c>
      <c r="L46" s="120"/>
      <c r="M46" s="90"/>
    </row>
    <row r="47" spans="1:13" x14ac:dyDescent="0.25">
      <c r="B47" s="87"/>
      <c r="E47" s="89"/>
      <c r="F47" s="90"/>
      <c r="G47" s="127" t="str">
        <v>CushionMaster I (Fine Rubber)</v>
      </c>
      <c r="H47" s="125">
        <v>2</v>
      </c>
      <c r="I47" s="128">
        <v>72</v>
      </c>
      <c r="J47" s="125">
        <v>2</v>
      </c>
      <c r="K47" s="125" t="str">
        <v>C1450D</v>
      </c>
      <c r="L47" s="120"/>
      <c r="M47" s="90"/>
    </row>
    <row r="48" spans="1:13" x14ac:dyDescent="0.25">
      <c r="B48" s="87"/>
      <c r="E48" s="89"/>
      <c r="F48" s="90"/>
      <c r="G48" s="127" t="str">
        <v>Premium System</v>
      </c>
      <c r="H48" s="125">
        <v>0</v>
      </c>
      <c r="I48" s="128">
        <v>0</v>
      </c>
      <c r="J48" s="125">
        <v>0</v>
      </c>
      <c r="K48" s="125">
        <v>0</v>
      </c>
      <c r="L48" s="120"/>
      <c r="M48" s="90"/>
    </row>
    <row r="49" spans="2:13" x14ac:dyDescent="0.25">
      <c r="B49" s="87"/>
      <c r="E49" s="89"/>
      <c r="F49" s="90"/>
      <c r="G49" s="127" t="str">
        <v>CushionMaster II (Coarse Rubber)</v>
      </c>
      <c r="H49" s="125">
        <v>5</v>
      </c>
      <c r="I49" s="128">
        <v>267</v>
      </c>
      <c r="J49" s="125">
        <v>5</v>
      </c>
      <c r="K49" s="125" t="str">
        <v>C1460D</v>
      </c>
      <c r="L49" s="120"/>
      <c r="M49" s="90"/>
    </row>
    <row r="50" spans="2:13" x14ac:dyDescent="0.25">
      <c r="B50" s="87"/>
      <c r="E50" s="89"/>
      <c r="F50" s="90"/>
      <c r="G50" s="127" t="str">
        <v>CushionMaster I (Fine Rubber)</v>
      </c>
      <c r="H50" s="125">
        <v>2</v>
      </c>
      <c r="I50" s="128">
        <v>72</v>
      </c>
      <c r="J50" s="125">
        <v>2</v>
      </c>
      <c r="K50" s="125" t="str">
        <v>C1450D</v>
      </c>
      <c r="L50" s="120"/>
      <c r="M50" s="90"/>
    </row>
    <row r="51" spans="2:13" x14ac:dyDescent="0.25">
      <c r="B51" s="87"/>
      <c r="E51" s="89"/>
      <c r="F51" s="90"/>
      <c r="G51" s="127" t="str">
        <v>Striping</v>
      </c>
      <c r="H51" s="125" t="str">
        <v>Coats</v>
      </c>
      <c r="I51" s="128" t="str">
        <v>Gallons Needed</v>
      </c>
      <c r="J51" s="125">
        <v>0</v>
      </c>
      <c r="K51" s="125" t="str">
        <v>Item Number</v>
      </c>
      <c r="L51" s="120"/>
      <c r="M51" s="90"/>
    </row>
    <row r="52" spans="2:13" x14ac:dyDescent="0.25">
      <c r="B52" s="87"/>
      <c r="E52" s="89"/>
      <c r="F52" s="90"/>
      <c r="G52" s="127" t="str">
        <v>Stripe Rite</v>
      </c>
      <c r="H52" s="125">
        <v>1</v>
      </c>
      <c r="I52" s="128">
        <v>1</v>
      </c>
      <c r="J52" s="125">
        <v>1</v>
      </c>
      <c r="K52" s="125" t="str">
        <v>C1610G</v>
      </c>
      <c r="L52" s="120"/>
      <c r="M52" s="90"/>
    </row>
    <row r="53" spans="2:13" x14ac:dyDescent="0.25">
      <c r="B53" s="87"/>
      <c r="E53" s="89"/>
      <c r="F53" s="90"/>
      <c r="G53" s="127" t="str">
        <v>White Line Paint</v>
      </c>
      <c r="H53" s="125">
        <v>1</v>
      </c>
      <c r="I53" s="128">
        <v>1</v>
      </c>
      <c r="J53" s="125">
        <v>1</v>
      </c>
      <c r="K53" s="125" t="str">
        <v>C1620G</v>
      </c>
      <c r="L53" s="120"/>
      <c r="M53" s="90"/>
    </row>
    <row r="54" spans="2:13" x14ac:dyDescent="0.25">
      <c r="B54" s="87"/>
      <c r="E54" s="89"/>
      <c r="F54" s="90"/>
      <c r="G54" s="127" t="str">
        <v>Masking Tape</v>
      </c>
      <c r="H54" s="125" t="str">
        <v>Rolls Needed</v>
      </c>
      <c r="I54" s="128">
        <v>0</v>
      </c>
      <c r="J54" s="125">
        <v>0</v>
      </c>
      <c r="K54" s="125">
        <v>0</v>
      </c>
      <c r="L54" s="120"/>
      <c r="M54" s="90"/>
    </row>
    <row r="55" spans="2:13" x14ac:dyDescent="0.25">
      <c r="B55" s="87"/>
      <c r="E55" s="89"/>
      <c r="F55" s="90"/>
      <c r="G55" s="127" t="str">
        <v>Standard Size Roll</v>
      </c>
      <c r="H55" s="125">
        <v>4</v>
      </c>
      <c r="I55" s="128">
        <v>0</v>
      </c>
      <c r="J55" s="125">
        <v>0</v>
      </c>
      <c r="K55" s="125">
        <v>0</v>
      </c>
      <c r="L55" s="120"/>
      <c r="M55" s="90"/>
    </row>
    <row r="56" spans="2:13" x14ac:dyDescent="0.25">
      <c r="B56" s="87"/>
      <c r="F56" s="90"/>
      <c r="G56" s="127"/>
      <c r="H56" s="125"/>
      <c r="I56" s="128"/>
      <c r="J56" s="125"/>
      <c r="K56" s="125"/>
      <c r="L56" s="118"/>
      <c r="M56" s="90"/>
    </row>
    <row r="57" spans="2:13" x14ac:dyDescent="0.25">
      <c r="F57" s="90"/>
      <c r="G57" s="90"/>
      <c r="H57" s="91"/>
      <c r="I57" s="94"/>
      <c r="J57" s="91"/>
      <c r="K57" s="91"/>
      <c r="L57" s="90"/>
      <c r="M57" s="90"/>
    </row>
    <row r="58" spans="2:13" x14ac:dyDescent="0.25">
      <c r="F58" s="90"/>
      <c r="G58" s="90"/>
      <c r="H58" s="91"/>
      <c r="I58" s="94"/>
      <c r="J58" s="91"/>
      <c r="K58" s="91"/>
      <c r="L58" s="90"/>
      <c r="M58" s="90"/>
    </row>
    <row r="59" spans="2:13" x14ac:dyDescent="0.25">
      <c r="F59" s="90"/>
      <c r="G59" s="90"/>
      <c r="H59" s="91"/>
      <c r="I59" s="94"/>
      <c r="J59" s="91"/>
      <c r="K59" s="91"/>
      <c r="L59" s="90"/>
      <c r="M59" s="90"/>
    </row>
    <row r="60" spans="2:13" x14ac:dyDescent="0.25">
      <c r="F60" s="90"/>
      <c r="G60" s="90"/>
      <c r="H60" s="91"/>
      <c r="I60" s="94"/>
      <c r="J60" s="91"/>
      <c r="K60" s="91"/>
      <c r="L60" s="90"/>
      <c r="M60" s="90"/>
    </row>
    <row r="61" spans="2:13" x14ac:dyDescent="0.25">
      <c r="H61" s="87"/>
      <c r="I61" s="99"/>
      <c r="J61" s="91"/>
      <c r="K61" s="87"/>
    </row>
    <row r="62" spans="2:13" x14ac:dyDescent="0.25">
      <c r="H62" s="87"/>
      <c r="I62" s="99"/>
      <c r="J62" s="91"/>
      <c r="K62" s="87"/>
    </row>
    <row r="63" spans="2:13" x14ac:dyDescent="0.25">
      <c r="D63" s="100"/>
      <c r="E63" s="87"/>
      <c r="F63" s="87"/>
      <c r="H63" s="87"/>
      <c r="I63" s="99"/>
      <c r="J63" s="91"/>
      <c r="K63" s="87"/>
    </row>
    <row r="64" spans="2:13" x14ac:dyDescent="0.25">
      <c r="D64" s="100"/>
      <c r="E64" s="87"/>
      <c r="F64" s="87"/>
      <c r="H64" s="87"/>
      <c r="I64" s="99"/>
      <c r="J64" s="91"/>
    </row>
    <row r="65" spans="3:10" x14ac:dyDescent="0.25">
      <c r="H65" s="87"/>
      <c r="I65" s="99"/>
      <c r="J65" s="87"/>
    </row>
    <row r="66" spans="3:10" x14ac:dyDescent="0.25">
      <c r="H66" s="86"/>
      <c r="J66" s="87"/>
    </row>
    <row r="67" spans="3:10" x14ac:dyDescent="0.25">
      <c r="H67" s="86"/>
    </row>
    <row r="68" spans="3:10" x14ac:dyDescent="0.25">
      <c r="H68" s="86"/>
    </row>
    <row r="69" spans="3:10" x14ac:dyDescent="0.25">
      <c r="H69" s="86"/>
    </row>
    <row r="70" spans="3:10" x14ac:dyDescent="0.25">
      <c r="C70" s="101"/>
      <c r="H70" s="86"/>
    </row>
    <row r="71" spans="3:10" x14ac:dyDescent="0.25">
      <c r="C71" s="102"/>
      <c r="H71" s="86"/>
    </row>
  </sheetData>
  <sheetProtection formatCells="0" formatColumns="0" formatRows="0" insertColumns="0" insertRows="0" insertHyperlinks="0" deleteColumns="0" deleteRows="0" sort="0" autoFilter="0" pivotTables="0"/>
  <dataConsolidate/>
  <mergeCells count="4">
    <mergeCell ref="G3:I3"/>
    <mergeCell ref="D5:E6"/>
    <mergeCell ref="A10:E10"/>
    <mergeCell ref="C21:D42"/>
  </mergeCells>
  <conditionalFormatting sqref="A9">
    <cfRule type="expression" dxfId="276" priority="5">
      <formula>$A$1=1</formula>
    </cfRule>
    <cfRule type="expression" dxfId="275" priority="45">
      <formula>$A$1=2</formula>
    </cfRule>
  </conditionalFormatting>
  <conditionalFormatting sqref="A9:B9">
    <cfRule type="expression" dxfId="274" priority="42">
      <formula>$A$1=3</formula>
    </cfRule>
  </conditionalFormatting>
  <conditionalFormatting sqref="A9:C9">
    <cfRule type="expression" dxfId="273" priority="39">
      <formula>$A$1=4</formula>
    </cfRule>
  </conditionalFormatting>
  <conditionalFormatting sqref="A9:D9">
    <cfRule type="expression" dxfId="272" priority="36">
      <formula>$A$1=5</formula>
    </cfRule>
  </conditionalFormatting>
  <conditionalFormatting sqref="B5">
    <cfRule type="expression" dxfId="271" priority="110">
      <formula>$B$5="Width of Court (In Feet)"</formula>
    </cfRule>
    <cfRule type="expression" dxfId="270" priority="109">
      <formula>$B$5="Square Meters of Court"</formula>
    </cfRule>
    <cfRule type="expression" dxfId="269" priority="108">
      <formula>$B$5="Square Yardage of Court"</formula>
    </cfRule>
    <cfRule type="expression" dxfId="268" priority="107">
      <formula>$B$5="Square Footage of Court"</formula>
    </cfRule>
  </conditionalFormatting>
  <conditionalFormatting sqref="B6">
    <cfRule type="containsText" dxfId="267" priority="119" operator="containsText" text="Length of">
      <formula>NOT(ISERROR(SEARCH("Length of",B6)))</formula>
    </cfRule>
  </conditionalFormatting>
  <conditionalFormatting sqref="B9">
    <cfRule type="expression" dxfId="266" priority="4">
      <formula>$A$1=2</formula>
    </cfRule>
  </conditionalFormatting>
  <conditionalFormatting sqref="B22">
    <cfRule type="expression" dxfId="265" priority="16">
      <formula>$A$1=3</formula>
    </cfRule>
    <cfRule type="expression" dxfId="264" priority="14">
      <formula>$A$1=1</formula>
    </cfRule>
    <cfRule type="expression" dxfId="263" priority="15">
      <formula>$A$1=2</formula>
    </cfRule>
    <cfRule type="expression" dxfId="262" priority="17">
      <formula>$A$1=4</formula>
    </cfRule>
    <cfRule type="expression" dxfId="261" priority="18">
      <formula>$A$1=5</formula>
    </cfRule>
  </conditionalFormatting>
  <conditionalFormatting sqref="B24">
    <cfRule type="expression" dxfId="260" priority="10">
      <formula>$A$1=1</formula>
    </cfRule>
    <cfRule type="expression" dxfId="259" priority="11">
      <formula>$A$1=2</formula>
    </cfRule>
    <cfRule type="expression" dxfId="258" priority="12">
      <formula>$A$1=3</formula>
    </cfRule>
    <cfRule type="expression" dxfId="257" priority="13">
      <formula>$A$1=4</formula>
    </cfRule>
  </conditionalFormatting>
  <conditionalFormatting sqref="B26">
    <cfRule type="expression" dxfId="256" priority="7">
      <formula>$A$1=2</formula>
    </cfRule>
    <cfRule type="expression" dxfId="255" priority="8">
      <formula>$A$1=3</formula>
    </cfRule>
    <cfRule type="expression" dxfId="254" priority="9">
      <formula>$A$1=4</formula>
    </cfRule>
  </conditionalFormatting>
  <conditionalFormatting sqref="B28">
    <cfRule type="expression" dxfId="253" priority="24">
      <formula>$A$1=4</formula>
    </cfRule>
    <cfRule type="expression" dxfId="252" priority="23">
      <formula>$A$1=3</formula>
    </cfRule>
  </conditionalFormatting>
  <conditionalFormatting sqref="B30">
    <cfRule type="expression" dxfId="251" priority="21">
      <formula>$A$1=4</formula>
    </cfRule>
    <cfRule type="expression" dxfId="250" priority="20">
      <formula>$A$1=3</formula>
    </cfRule>
  </conditionalFormatting>
  <conditionalFormatting sqref="B32">
    <cfRule type="expression" dxfId="249" priority="19">
      <formula>$A$1=3</formula>
    </cfRule>
  </conditionalFormatting>
  <conditionalFormatting sqref="B9:E9">
    <cfRule type="expression" dxfId="248" priority="29">
      <formula>$A$1=1</formula>
    </cfRule>
  </conditionalFormatting>
  <conditionalFormatting sqref="C5">
    <cfRule type="expression" dxfId="247" priority="114">
      <formula>$B$5="Square Meters of Court"</formula>
    </cfRule>
    <cfRule type="expression" dxfId="246" priority="113">
      <formula>$B$5="Width of Court (In Feet)"</formula>
    </cfRule>
    <cfRule type="expression" dxfId="245" priority="112">
      <formula>$B$5="Square Yardage of Court"</formula>
    </cfRule>
    <cfRule type="expression" dxfId="244" priority="115">
      <formula>$B$5="Square Footage of Court"</formula>
    </cfRule>
  </conditionalFormatting>
  <conditionalFormatting sqref="C6">
    <cfRule type="expression" dxfId="243" priority="111">
      <formula>$B$6="Length of Court (In Feet)"</formula>
    </cfRule>
    <cfRule type="containsText" dxfId="242" priority="106" operator="containsText" text="Square">
      <formula>NOT(ISERROR(SEARCH("Square",C6)))</formula>
    </cfRule>
  </conditionalFormatting>
  <conditionalFormatting sqref="C9">
    <cfRule type="expression" dxfId="241" priority="3">
      <formula>$A$1=3</formula>
    </cfRule>
  </conditionalFormatting>
  <conditionalFormatting sqref="C9:E9">
    <cfRule type="expression" dxfId="240" priority="30">
      <formula>$A$1=2</formula>
    </cfRule>
  </conditionalFormatting>
  <conditionalFormatting sqref="D9">
    <cfRule type="expression" dxfId="239" priority="2">
      <formula>$A$1=4</formula>
    </cfRule>
  </conditionalFormatting>
  <conditionalFormatting sqref="D9:E9">
    <cfRule type="expression" dxfId="238" priority="31">
      <formula>$A$1=3</formula>
    </cfRule>
  </conditionalFormatting>
  <conditionalFormatting sqref="E9">
    <cfRule type="expression" dxfId="237" priority="32">
      <formula>$A$1=4</formula>
    </cfRule>
    <cfRule type="expression" dxfId="236" priority="1">
      <formula>$A$1=5</formula>
    </cfRule>
  </conditionalFormatting>
  <conditionalFormatting sqref="F9">
    <cfRule type="expression" dxfId="235" priority="52">
      <formula>$A$1=5</formula>
    </cfRule>
  </conditionalFormatting>
  <conditionalFormatting sqref="G4">
    <cfRule type="beginsWith" dxfId="234" priority="228" operator="beginsWith" text="Square">
      <formula>LEFT(G4,LEN("Square"))="Square"</formula>
    </cfRule>
  </conditionalFormatting>
  <conditionalFormatting sqref="G5">
    <cfRule type="containsText" dxfId="233" priority="227" operator="containsText" text="Number">
      <formula>NOT(ISERROR(SEARCH("Number",G5)))</formula>
    </cfRule>
    <cfRule type="containsText" dxfId="232" priority="71" operator="containsText" text="Crack Filler">
      <formula>NOT(ISERROR(SEARCH("Crack Filler",G5)))</formula>
    </cfRule>
  </conditionalFormatting>
  <conditionalFormatting sqref="G6">
    <cfRule type="containsText" dxfId="231" priority="226" operator="containsText" text="Court">
      <formula>NOT(ISERROR(SEARCH("Court",G6)))</formula>
    </cfRule>
    <cfRule type="containsText" dxfId="230" priority="198" operator="containsText" text="Outside Area">
      <formula>NOT(ISERROR(SEARCH("Outside Area",G6)))</formula>
    </cfRule>
    <cfRule type="containsText" dxfId="229" priority="220" operator="containsText" text="Servi">
      <formula>NOT(ISERROR(SEARCH("Servi",G6)))</formula>
    </cfRule>
    <cfRule type="containsText" dxfId="228" priority="73" operator="containsText" text="Acrylic">
      <formula>NOT(ISERROR(SEARCH("Acrylic",G6)))</formula>
    </cfRule>
  </conditionalFormatting>
  <conditionalFormatting sqref="G7">
    <cfRule type="containsText" dxfId="227" priority="197" operator="containsText" text="Playing Area">
      <formula>NOT(ISERROR(SEARCH("Playing Area",G7)))</formula>
    </cfRule>
    <cfRule type="containsText" dxfId="226" priority="225" operator="containsText" text="Border">
      <formula>NOT(ISERROR(SEARCH("Border",G7)))</formula>
    </cfRule>
    <cfRule type="containsText" dxfId="225" priority="219" operator="containsText" text="Kitchen A">
      <formula>NOT(ISERROR(SEARCH("Kitchen A",G7)))</formula>
    </cfRule>
    <cfRule type="containsText" dxfId="224" priority="72" operator="containsText" text="Crack">
      <formula>NOT(ISERROR(SEARCH("Crack",G7)))</formula>
    </cfRule>
    <cfRule type="containsText" dxfId="223" priority="124" operator="containsText" text="ColorPlus">
      <formula>NOT(ISERROR(SEARCH("ColorPlus",G7)))</formula>
    </cfRule>
  </conditionalFormatting>
  <conditionalFormatting sqref="G8">
    <cfRule type="containsText" dxfId="222" priority="184" operator="containsText" text="Crack">
      <formula>NOT(ISERROR(SEARCH("Crack",G8)))</formula>
    </cfRule>
    <cfRule type="beginsWith" dxfId="221" priority="308" operator="beginsWith" text="Three">
      <formula>LEFT(G8,LEN("Three"))="Three"</formula>
    </cfRule>
  </conditionalFormatting>
  <conditionalFormatting sqref="G8:G53">
    <cfRule type="containsText" dxfId="220" priority="135" operator="containsText" text="CourtFlex">
      <formula>NOT(ISERROR(SEARCH("CourtFlex",G8)))</formula>
    </cfRule>
  </conditionalFormatting>
  <conditionalFormatting sqref="G8:G64 B63">
    <cfRule type="cellIs" dxfId="219" priority="55" operator="equal">
      <formula>"Playing Area (78 ft x 36 ft per court)"</formula>
    </cfRule>
    <cfRule type="cellIs" dxfId="218" priority="61" operator="equal">
      <formula>"Total Area (Product Options)"</formula>
    </cfRule>
    <cfRule type="cellIs" dxfId="217" priority="62" operator="equal">
      <formula>"Playing Area (78 ft x 36 ft per court) (Product Options)"</formula>
    </cfRule>
    <cfRule type="beginsWith" dxfId="216" priority="300" operator="beginsWith" text="Se">
      <formula>LEFT(B8,LEN("Se"))="Se"</formula>
    </cfRule>
    <cfRule type="cellIs" dxfId="215" priority="382" operator="equal">
      <formula>"Masking Tape"</formula>
    </cfRule>
    <cfRule type="cellIs" dxfId="214" priority="383" operator="equal">
      <formula>"Striping"</formula>
    </cfRule>
    <cfRule type="cellIs" dxfId="213" priority="384" operator="equal">
      <formula>"Premium System"</formula>
    </cfRule>
    <cfRule type="cellIs" dxfId="212" priority="385" operator="equal">
      <formula>"Standard System"</formula>
    </cfRule>
    <cfRule type="cellIs" dxfId="211" priority="386" operator="equal">
      <formula>"ProCushion Layers (Optional)"</formula>
    </cfRule>
    <cfRule type="cellIs" dxfId="210" priority="387" operator="equal">
      <formula>"Kitchen Area (14 ft x 20 ft per court)"</formula>
    </cfRule>
    <cfRule type="cellIs" dxfId="209" priority="388" operator="equal">
      <formula>"Service Area (15 ft x 20 ft * 2 per court)"</formula>
    </cfRule>
    <cfRule type="cellIs" dxfId="208" priority="390" operator="equal">
      <formula>"Total Area"</formula>
    </cfRule>
  </conditionalFormatting>
  <conditionalFormatting sqref="G8:G64">
    <cfRule type="containsText" dxfId="207" priority="60" operator="containsText" text="Border (Product Options)">
      <formula>NOT(ISERROR(SEARCH("Border (Product Options)",G8)))</formula>
    </cfRule>
    <cfRule type="beginsWith" dxfId="206" priority="251" operator="beginsWith" text="Court">
      <formula>LEFT(G8,LEN("Court"))="Court"</formula>
    </cfRule>
    <cfRule type="containsText" dxfId="205" priority="59" operator="containsText" text="Court (Product Options)">
      <formula>NOT(ISERROR(SEARCH("Court (Product Options)",G8)))</formula>
    </cfRule>
    <cfRule type="cellIs" dxfId="204" priority="58" operator="equal">
      <formula>"Service Area (1 5 ft x 20 ft * 2 per court) (Product Options)"</formula>
    </cfRule>
    <cfRule type="cellIs" dxfId="203" priority="57" operator="equal">
      <formula>"Outside Area (4,392 sq ft per court) (Product Options)"</formula>
    </cfRule>
    <cfRule type="cellIs" dxfId="202" priority="56" operator="equal">
      <formula>"Outside Area (4,392 sq ft per court)"</formula>
    </cfRule>
    <cfRule type="cellIs" dxfId="201" priority="380" operator="equal">
      <formula>"Playing Area (78 ft x 36 ft per court)"</formula>
    </cfRule>
    <cfRule type="beginsWith" dxfId="200" priority="246" operator="beginsWith" text="Border">
      <formula>LEFT(G8,LEN("Border"))="Border"</formula>
    </cfRule>
  </conditionalFormatting>
  <conditionalFormatting sqref="G9:G53">
    <cfRule type="containsText" dxfId="199" priority="267" operator="containsText" text="Key">
      <formula>NOT(ISERROR(SEARCH("Key",G9)))</formula>
    </cfRule>
    <cfRule type="cellIs" dxfId="198" priority="120" operator="equal">
      <formula>0</formula>
    </cfRule>
    <cfRule type="cellIs" dxfId="197" priority="181" operator="equal">
      <formula>0</formula>
    </cfRule>
  </conditionalFormatting>
  <conditionalFormatting sqref="G10">
    <cfRule type="containsText" dxfId="196" priority="266" operator="containsText" text="Free">
      <formula>NOT(ISERROR(SEARCH("Free",G10)))</formula>
    </cfRule>
  </conditionalFormatting>
  <conditionalFormatting sqref="G11">
    <cfRule type="containsText" dxfId="195" priority="265" operator="containsText" text="Center">
      <formula>NOT(ISERROR(SEARCH("Center",G11)))</formula>
    </cfRule>
  </conditionalFormatting>
  <conditionalFormatting sqref="G11:G12">
    <cfRule type="containsText" dxfId="194" priority="137" operator="containsText" text="Crack Filler">
      <formula>NOT(ISERROR(SEARCH("Crack Filler",G11)))</formula>
    </cfRule>
  </conditionalFormatting>
  <conditionalFormatting sqref="G14:G64">
    <cfRule type="beginsWith" dxfId="193" priority="248" operator="beginsWith" text="Free T">
      <formula>LEFT(G14,LEN("Free T"))="Free T"</formula>
    </cfRule>
    <cfRule type="beginsWith" dxfId="192" priority="247" operator="beginsWith" text="Center Cou">
      <formula>LEFT(G14,LEN("Center Cou"))="Center Cou"</formula>
    </cfRule>
    <cfRule type="beginsWith" dxfId="191" priority="250" operator="beginsWith" text="Key">
      <formula>LEFT(G14,LEN("Key"))="Key"</formula>
    </cfRule>
    <cfRule type="beginsWith" dxfId="190" priority="249" operator="beginsWith" text="Three Point">
      <formula>LEFT(G14,LEN("Three Point"))="Three Point"</formula>
    </cfRule>
  </conditionalFormatting>
  <conditionalFormatting sqref="G18:G53">
    <cfRule type="expression" dxfId="189" priority="91">
      <formula>G17="PickleMaster"</formula>
    </cfRule>
    <cfRule type="expression" dxfId="188" priority="86">
      <formula>G16="Neutral Concentrate"</formula>
    </cfRule>
  </conditionalFormatting>
  <conditionalFormatting sqref="G19:G33">
    <cfRule type="cellIs" dxfId="187" priority="54" operator="equal">
      <formula>0</formula>
    </cfRule>
  </conditionalFormatting>
  <conditionalFormatting sqref="H4">
    <cfRule type="expression" dxfId="186" priority="419">
      <formula>$G$4="Square Foot"</formula>
    </cfRule>
  </conditionalFormatting>
  <conditionalFormatting sqref="H4:H65">
    <cfRule type="containsText" dxfId="185" priority="263" operator="containsText" text="Coat">
      <formula>NOT(ISERROR(SEARCH("Coat",H4)))</formula>
    </cfRule>
  </conditionalFormatting>
  <conditionalFormatting sqref="H5">
    <cfRule type="expression" dxfId="184" priority="70">
      <formula>G5="Crack Filler"</formula>
    </cfRule>
    <cfRule type="expression" dxfId="183" priority="234">
      <formula>$G$5="Number of Courts"</formula>
    </cfRule>
  </conditionalFormatting>
  <conditionalFormatting sqref="H6">
    <cfRule type="expression" dxfId="182" priority="224">
      <formula>$G$6="Service Boxes"</formula>
    </cfRule>
    <cfRule type="expression" dxfId="181" priority="232">
      <formula>$G$6="Court"</formula>
    </cfRule>
    <cfRule type="expression" dxfId="180" priority="203">
      <formula>$G$6="Outside Area"</formula>
    </cfRule>
  </conditionalFormatting>
  <conditionalFormatting sqref="H6:H65 C63 C70:C71">
    <cfRule type="cellIs" dxfId="179" priority="264" operator="equal">
      <formula>0</formula>
    </cfRule>
  </conditionalFormatting>
  <conditionalFormatting sqref="H7">
    <cfRule type="expression" dxfId="178" priority="230">
      <formula>$G$7="Border"</formula>
    </cfRule>
    <cfRule type="expression" dxfId="177" priority="200">
      <formula>$G$7="Playing Area"</formula>
    </cfRule>
    <cfRule type="expression" dxfId="176" priority="222">
      <formula>$G$7="Kitchen Area"</formula>
    </cfRule>
  </conditionalFormatting>
  <conditionalFormatting sqref="H8">
    <cfRule type="expression" dxfId="175" priority="145">
      <formula>$H$8="Linear Feet Per Gallon"</formula>
    </cfRule>
    <cfRule type="expression" dxfId="174" priority="245">
      <formula>$G$8="Three Point Area"</formula>
    </cfRule>
  </conditionalFormatting>
  <conditionalFormatting sqref="H8:H65">
    <cfRule type="containsText" dxfId="173" priority="262" operator="containsText" text="Rolls">
      <formula>NOT(ISERROR(SEARCH("Rolls",H8)))</formula>
    </cfRule>
  </conditionalFormatting>
  <conditionalFormatting sqref="H9">
    <cfRule type="expression" dxfId="172" priority="242">
      <formula>$G$9="Key"</formula>
    </cfRule>
  </conditionalFormatting>
  <conditionalFormatting sqref="H10">
    <cfRule type="expression" dxfId="171" priority="241">
      <formula>$G$10="Free Throw Circle"</formula>
    </cfRule>
  </conditionalFormatting>
  <conditionalFormatting sqref="H11">
    <cfRule type="expression" dxfId="170" priority="240">
      <formula>$G$11="Center Court Circle"</formula>
    </cfRule>
  </conditionalFormatting>
  <conditionalFormatting sqref="H11:H12">
    <cfRule type="containsText" dxfId="169" priority="140" operator="containsText" text="Linear Feet">
      <formula>NOT(ISERROR(SEARCH("Linear Feet",H11)))</formula>
    </cfRule>
  </conditionalFormatting>
  <conditionalFormatting sqref="H11:H65">
    <cfRule type="expression" dxfId="168" priority="153">
      <formula>G11="ColorPlus System"</formula>
    </cfRule>
  </conditionalFormatting>
  <conditionalFormatting sqref="H12:H52 I14:I16 G14:G53 J15:J59 K16 I17:K23 I19:I52 K19:K52 G20:K47">
    <cfRule type="expression" dxfId="167" priority="101">
      <formula>G11="Neutral Concentrate w/ Sand"</formula>
    </cfRule>
  </conditionalFormatting>
  <conditionalFormatting sqref="H12:H52">
    <cfRule type="expression" dxfId="166" priority="100">
      <formula>G11="Neutral Concentrate w/ Sand"</formula>
    </cfRule>
  </conditionalFormatting>
  <conditionalFormatting sqref="H18:H52">
    <cfRule type="expression" dxfId="165" priority="85">
      <formula>G16="Neutral Concentrate"</formula>
    </cfRule>
    <cfRule type="expression" dxfId="164" priority="90">
      <formula>G17="PickleMaster"</formula>
    </cfRule>
  </conditionalFormatting>
  <conditionalFormatting sqref="H4:I56">
    <cfRule type="cellIs" dxfId="163" priority="103" operator="equal">
      <formula>0</formula>
    </cfRule>
  </conditionalFormatting>
  <conditionalFormatting sqref="I4">
    <cfRule type="expression" dxfId="162" priority="420">
      <formula>$G$4="Square Foot"</formula>
    </cfRule>
  </conditionalFormatting>
  <conditionalFormatting sqref="I5">
    <cfRule type="containsText" dxfId="161" priority="186" operator="containsText" text="COURT MAY NOT FIT">
      <formula>NOT(ISERROR(SEARCH("COURT MAY NOT FIT",I5)))</formula>
    </cfRule>
    <cfRule type="cellIs" dxfId="160" priority="259" operator="equal">
      <formula>0</formula>
    </cfRule>
    <cfRule type="expression" dxfId="159" priority="69">
      <formula>G5="Crack Filler"</formula>
    </cfRule>
    <cfRule type="expression" dxfId="158" priority="233">
      <formula>$G$5="Number of Courts"</formula>
    </cfRule>
  </conditionalFormatting>
  <conditionalFormatting sqref="I6">
    <cfRule type="expression" dxfId="157" priority="202">
      <formula>$G$6="Outside Area"</formula>
    </cfRule>
    <cfRule type="expression" dxfId="156" priority="223">
      <formula>$G$6="Service Boxes"</formula>
    </cfRule>
    <cfRule type="expression" dxfId="155" priority="231">
      <formula>$G$6="Court"</formula>
    </cfRule>
  </conditionalFormatting>
  <conditionalFormatting sqref="I7">
    <cfRule type="expression" dxfId="154" priority="221">
      <formula>$G$7="Kitchen Area"</formula>
    </cfRule>
    <cfRule type="expression" dxfId="153" priority="229">
      <formula>$G$7="Border"</formula>
    </cfRule>
    <cfRule type="expression" dxfId="152" priority="199">
      <formula>$G$7="Playing Area"</formula>
    </cfRule>
  </conditionalFormatting>
  <conditionalFormatting sqref="I8">
    <cfRule type="expression" dxfId="151" priority="244">
      <formula>$G$8="Three Point Area"</formula>
    </cfRule>
    <cfRule type="containsText" dxfId="150" priority="143" operator="containsText" text="Recommended">
      <formula>NOT(ISERROR(SEARCH("Recommended",I8)))</formula>
    </cfRule>
  </conditionalFormatting>
  <conditionalFormatting sqref="I8:I65 D63:D64">
    <cfRule type="containsText" dxfId="149" priority="261" operator="containsText" text="Gallon">
      <formula>NOT(ISERROR(SEARCH("Gallon",D8)))</formula>
    </cfRule>
    <cfRule type="cellIs" dxfId="148" priority="260" operator="equal">
      <formula>0</formula>
    </cfRule>
  </conditionalFormatting>
  <conditionalFormatting sqref="I9:I10">
    <cfRule type="expression" dxfId="147" priority="243">
      <formula>$G$9="Key"</formula>
    </cfRule>
  </conditionalFormatting>
  <conditionalFormatting sqref="I10">
    <cfRule type="expression" dxfId="146" priority="65">
      <formula>G10="Free Throw Circle"</formula>
    </cfRule>
  </conditionalFormatting>
  <conditionalFormatting sqref="I10:I11">
    <cfRule type="expression" dxfId="145" priority="238">
      <formula>$G$11="Center Court Circle"</formula>
    </cfRule>
  </conditionalFormatting>
  <conditionalFormatting sqref="I10:I12">
    <cfRule type="containsText" dxfId="144" priority="139" operator="containsText" text="Recommended">
      <formula>NOT(ISERROR(SEARCH("Recommended",I10)))</formula>
    </cfRule>
  </conditionalFormatting>
  <conditionalFormatting sqref="I10:I65">
    <cfRule type="expression" dxfId="143" priority="163">
      <formula>G10="Resurfacer Sand (50-60 Mesh)"</formula>
    </cfRule>
    <cfRule type="expression" dxfId="142" priority="162">
      <formula>G10="Color Sand (80-90 Mesh)"</formula>
    </cfRule>
    <cfRule type="expression" dxfId="141" priority="152">
      <formula>G10="ColorPlus System"</formula>
    </cfRule>
  </conditionalFormatting>
  <conditionalFormatting sqref="I14:I52">
    <cfRule type="expression" dxfId="140" priority="99">
      <formula>G13="Neutral Concentrate w/ Sand"</formula>
    </cfRule>
  </conditionalFormatting>
  <conditionalFormatting sqref="I18:I52">
    <cfRule type="expression" dxfId="139" priority="84">
      <formula>G16="Neutral Concentrate"</formula>
    </cfRule>
    <cfRule type="expression" dxfId="138" priority="89">
      <formula>G17="PickleMaster"</formula>
    </cfRule>
  </conditionalFormatting>
  <conditionalFormatting sqref="J2">
    <cfRule type="expression" dxfId="137" priority="169">
      <formula>$A$3=1</formula>
    </cfRule>
    <cfRule type="expression" dxfId="136" priority="168">
      <formula>$A$3=2</formula>
    </cfRule>
  </conditionalFormatting>
  <conditionalFormatting sqref="J3:J64">
    <cfRule type="expression" dxfId="135" priority="127">
      <formula>K2="C1365P"</formula>
    </cfRule>
  </conditionalFormatting>
  <conditionalFormatting sqref="J3:J66 E63:F63">
    <cfRule type="expression" dxfId="134" priority="209">
      <formula>$A$2=3</formula>
    </cfRule>
    <cfRule type="expression" dxfId="133" priority="210">
      <formula>$A$2=2</formula>
    </cfRule>
    <cfRule type="expression" dxfId="132" priority="211">
      <formula>$A$2=1</formula>
    </cfRule>
  </conditionalFormatting>
  <conditionalFormatting sqref="J3:J66 H16:K37 K11:K15 K19:K63 G8:G64 G11:I12 I10 H12:H52 H13:I15 I14:I16 I19:I52 H21:I65">
    <cfRule type="expression" dxfId="131" priority="156">
      <formula>G3="ColorPlus System"</formula>
    </cfRule>
  </conditionalFormatting>
  <conditionalFormatting sqref="J3:J66">
    <cfRule type="expression" dxfId="130" priority="399">
      <formula>B6="ColorPlus System"</formula>
    </cfRule>
    <cfRule type="containsText" dxfId="129" priority="402" operator="containsText" text="Total">
      <formula>NOT(ISERROR(SEARCH("Total",J3)))</formula>
    </cfRule>
    <cfRule type="expression" dxfId="128" priority="403">
      <formula>G6="Ready-Mix Color"</formula>
    </cfRule>
    <cfRule type="expression" dxfId="127" priority="395">
      <formula>K2="C1299P"</formula>
    </cfRule>
    <cfRule type="expression" dxfId="126" priority="398">
      <formula>B6="Striping"</formula>
    </cfRule>
    <cfRule type="expression" dxfId="125" priority="391">
      <formula>K2="C1298P"</formula>
    </cfRule>
    <cfRule type="expression" dxfId="124" priority="392">
      <formula>K1="C1360P"</formula>
    </cfRule>
    <cfRule type="cellIs" dxfId="123" priority="393" operator="equal">
      <formula>0</formula>
    </cfRule>
    <cfRule type="expression" dxfId="122" priority="394">
      <formula>K2="C1285P"</formula>
    </cfRule>
    <cfRule type="expression" dxfId="121" priority="396">
      <formula>G6="PickleMaster RTU"</formula>
    </cfRule>
    <cfRule type="expression" dxfId="120" priority="397">
      <formula>B6="ColorPlus System"</formula>
    </cfRule>
  </conditionalFormatting>
  <conditionalFormatting sqref="J4:J64">
    <cfRule type="expression" dxfId="119" priority="92">
      <formula>G4="PickleMaster RTU"</formula>
    </cfRule>
    <cfRule type="expression" dxfId="118" priority="93">
      <formula>G4="Ready-Mix Color"</formula>
    </cfRule>
    <cfRule type="cellIs" dxfId="117" priority="102" operator="equal">
      <formula>0</formula>
    </cfRule>
    <cfRule type="beginsWith" dxfId="116" priority="126" operator="beginsWith" text="Disclaimer">
      <formula>LEFT(J4,LEN("Disclaimer"))="Disclaimer"</formula>
    </cfRule>
  </conditionalFormatting>
  <conditionalFormatting sqref="J8:J64">
    <cfRule type="cellIs" dxfId="115" priority="53" operator="equal">
      <formula>0</formula>
    </cfRule>
  </conditionalFormatting>
  <conditionalFormatting sqref="J9:J64">
    <cfRule type="expression" dxfId="114" priority="26">
      <formula>G9="White Line Paint"</formula>
    </cfRule>
    <cfRule type="expression" dxfId="113" priority="27">
      <formula>G9="Stripe Rite"</formula>
    </cfRule>
    <cfRule type="expression" dxfId="112" priority="74">
      <formula>G9="Striping"</formula>
    </cfRule>
  </conditionalFormatting>
  <conditionalFormatting sqref="J14:J59">
    <cfRule type="expression" dxfId="111" priority="67">
      <formula>G13="Neutral Concentrate w/ Sand"</formula>
    </cfRule>
  </conditionalFormatting>
  <conditionalFormatting sqref="J18:J59">
    <cfRule type="expression" dxfId="110" priority="88">
      <formula>G17="PickleMaster"</formula>
    </cfRule>
    <cfRule type="expression" dxfId="109" priority="83">
      <formula>G16="Neutral Concentrate"</formula>
    </cfRule>
  </conditionalFormatting>
  <conditionalFormatting sqref="J31:J58">
    <cfRule type="expression" dxfId="108" priority="94">
      <formula>G31="Striping"</formula>
    </cfRule>
  </conditionalFormatting>
  <conditionalFormatting sqref="J36">
    <cfRule type="containsText" dxfId="107" priority="142" operator="containsText" text="Disclaimer">
      <formula>NOT(ISERROR(SEARCH("Disclaimer",J36)))</formula>
    </cfRule>
  </conditionalFormatting>
  <conditionalFormatting sqref="J39:J40">
    <cfRule type="containsText" dxfId="106" priority="138" operator="containsText" text="Disclaimer">
      <formula>NOT(ISERROR(SEARCH("Disclaimer",J39)))</formula>
    </cfRule>
  </conditionalFormatting>
  <conditionalFormatting sqref="K4:K63">
    <cfRule type="containsText" dxfId="105" priority="255" operator="containsText" text="Item">
      <formula>NOT(ISERROR(SEARCH("Item",K4)))</formula>
    </cfRule>
  </conditionalFormatting>
  <conditionalFormatting sqref="K5">
    <cfRule type="expression" dxfId="104" priority="68">
      <formula>G5="Crack Filler"</formula>
    </cfRule>
  </conditionalFormatting>
  <conditionalFormatting sqref="K8">
    <cfRule type="expression" dxfId="103" priority="141">
      <formula>$J$8="Disclaimer"</formula>
    </cfRule>
  </conditionalFormatting>
  <conditionalFormatting sqref="K9:K52">
    <cfRule type="expression" dxfId="102" priority="123">
      <formula>G9="Ready-Mix Color"</formula>
    </cfRule>
  </conditionalFormatting>
  <conditionalFormatting sqref="K11">
    <cfRule type="expression" dxfId="101" priority="134">
      <formula>$J$11="Disclaimer"</formula>
    </cfRule>
  </conditionalFormatting>
  <conditionalFormatting sqref="K11:K63">
    <cfRule type="expression" dxfId="100" priority="150">
      <formula>G11="ColorPlus System"</formula>
    </cfRule>
  </conditionalFormatting>
  <conditionalFormatting sqref="K12">
    <cfRule type="expression" dxfId="99" priority="133">
      <formula>$J$12="Disclaimer"</formula>
    </cfRule>
  </conditionalFormatting>
  <conditionalFormatting sqref="K14">
    <cfRule type="expression" dxfId="98" priority="66">
      <formula>G13="Neutral Concentrate w/ Sand"</formula>
    </cfRule>
  </conditionalFormatting>
  <conditionalFormatting sqref="K16:K52">
    <cfRule type="expression" dxfId="97" priority="97">
      <formula>G15="Neutral Concentrate w/ Sand"</formula>
    </cfRule>
  </conditionalFormatting>
  <conditionalFormatting sqref="K18:K52">
    <cfRule type="expression" dxfId="96" priority="87">
      <formula>G17="PickleMaster"</formula>
    </cfRule>
    <cfRule type="expression" dxfId="95" priority="82">
      <formula>G16="Neutral Concentrate"</formula>
    </cfRule>
  </conditionalFormatting>
  <conditionalFormatting sqref="K4:L63">
    <cfRule type="cellIs" dxfId="94" priority="185" operator="equal">
      <formula>0</formula>
    </cfRule>
  </conditionalFormatting>
  <dataValidations count="1">
    <dataValidation type="list" allowBlank="1" showInputMessage="1" showErrorMessage="1" sqref="B30 B32 B28" xr:uid="{1068ECC6-FB04-4B4D-ADC0-81CC34EEA3B9}">
      <formula1>One_Gallon_Color_Options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4" name="Group Box 5">
              <controlPr defaultSize="0" autoFill="0" autoPict="0">
                <anchor moveWithCells="1">
                  <from>
                    <xdr:col>0</xdr:col>
                    <xdr:colOff>1352550</xdr:colOff>
                    <xdr:row>10</xdr:row>
                    <xdr:rowOff>47625</xdr:rowOff>
                  </from>
                  <to>
                    <xdr:col>4</xdr:col>
                    <xdr:colOff>762000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Option Button 6">
              <controlPr defaultSize="0" autoFill="0" autoLine="0" autoPict="0">
                <anchor moveWithCells="1">
                  <from>
                    <xdr:col>1</xdr:col>
                    <xdr:colOff>161925</xdr:colOff>
                    <xdr:row>10</xdr:row>
                    <xdr:rowOff>180975</xdr:rowOff>
                  </from>
                  <to>
                    <xdr:col>1</xdr:col>
                    <xdr:colOff>1190625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Option Button 7">
              <controlPr defaultSize="0" autoFill="0" autoLine="0" autoPict="0">
                <anchor moveWithCells="1">
                  <from>
                    <xdr:col>1</xdr:col>
                    <xdr:colOff>1085850</xdr:colOff>
                    <xdr:row>11</xdr:row>
                    <xdr:rowOff>9525</xdr:rowOff>
                  </from>
                  <to>
                    <xdr:col>2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Group Box 10">
              <controlPr defaultSize="0" autoFill="0" autoPict="0">
                <anchor moveWithCells="1">
                  <from>
                    <xdr:col>0</xdr:col>
                    <xdr:colOff>1352550</xdr:colOff>
                    <xdr:row>14</xdr:row>
                    <xdr:rowOff>57150</xdr:rowOff>
                  </from>
                  <to>
                    <xdr:col>3</xdr:col>
                    <xdr:colOff>704850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Option Button 11">
              <controlPr defaultSize="0" autoFill="0" autoLine="0" autoPict="0">
                <anchor moveWithCells="1">
                  <from>
                    <xdr:col>1</xdr:col>
                    <xdr:colOff>114300</xdr:colOff>
                    <xdr:row>14</xdr:row>
                    <xdr:rowOff>180975</xdr:rowOff>
                  </from>
                  <to>
                    <xdr:col>1</xdr:col>
                    <xdr:colOff>1200150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9" name="Option Button 12">
              <controlPr defaultSize="0" autoFill="0" autoLine="0" autoPict="0">
                <anchor moveWithCells="1">
                  <from>
                    <xdr:col>1</xdr:col>
                    <xdr:colOff>1190625</xdr:colOff>
                    <xdr:row>14</xdr:row>
                    <xdr:rowOff>152400</xdr:rowOff>
                  </from>
                  <to>
                    <xdr:col>2</xdr:col>
                    <xdr:colOff>790575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0" name="Option Button 13">
              <controlPr defaultSize="0" autoFill="0" autoLine="0" autoPict="0">
                <anchor moveWithCells="1">
                  <from>
                    <xdr:col>2</xdr:col>
                    <xdr:colOff>857250</xdr:colOff>
                    <xdr:row>14</xdr:row>
                    <xdr:rowOff>161925</xdr:rowOff>
                  </from>
                  <to>
                    <xdr:col>3</xdr:col>
                    <xdr:colOff>533400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1" name="Group Box 15">
              <controlPr defaultSize="0" autoFill="0" autoPict="0">
                <anchor moveWithCells="1">
                  <from>
                    <xdr:col>0</xdr:col>
                    <xdr:colOff>1352550</xdr:colOff>
                    <xdr:row>16</xdr:row>
                    <xdr:rowOff>180975</xdr:rowOff>
                  </from>
                  <to>
                    <xdr:col>4</xdr:col>
                    <xdr:colOff>647700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2" name="Option Button 16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114300</xdr:rowOff>
                  </from>
                  <to>
                    <xdr:col>2</xdr:col>
                    <xdr:colOff>1209675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>
                <anchor moveWithCells="1">
                  <from>
                    <xdr:col>2</xdr:col>
                    <xdr:colOff>1247775</xdr:colOff>
                    <xdr:row>17</xdr:row>
                    <xdr:rowOff>114300</xdr:rowOff>
                  </from>
                  <to>
                    <xdr:col>4</xdr:col>
                    <xdr:colOff>609600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Option Button 19">
              <controlPr defaultSize="0" autoFill="0" autoLine="0" autoPict="0">
                <anchor moveWithCells="1">
                  <from>
                    <xdr:col>2</xdr:col>
                    <xdr:colOff>495300</xdr:colOff>
                    <xdr:row>10</xdr:row>
                    <xdr:rowOff>161925</xdr:rowOff>
                  </from>
                  <to>
                    <xdr:col>3</xdr:col>
                    <xdr:colOff>542925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5" name="Group Box 22">
              <controlPr defaultSize="0" autoFill="0" autoPict="0">
                <anchor moveWithCells="1">
                  <from>
                    <xdr:col>1</xdr:col>
                    <xdr:colOff>9525</xdr:colOff>
                    <xdr:row>0</xdr:row>
                    <xdr:rowOff>180975</xdr:rowOff>
                  </from>
                  <to>
                    <xdr:col>4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6" name="Option Button 23">
              <controlPr defaultSize="0" autoFill="0" autoLine="0" autoPict="0">
                <anchor moveWithCells="1">
                  <from>
                    <xdr:col>1</xdr:col>
                    <xdr:colOff>66675</xdr:colOff>
                    <xdr:row>1</xdr:row>
                    <xdr:rowOff>123825</xdr:rowOff>
                  </from>
                  <to>
                    <xdr:col>1</xdr:col>
                    <xdr:colOff>1123950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7" name="Option Button 24">
              <controlPr defaultSize="0" autoFill="0" autoLine="0" autoPict="0">
                <anchor moveWithCells="1">
                  <from>
                    <xdr:col>1</xdr:col>
                    <xdr:colOff>1266825</xdr:colOff>
                    <xdr:row>1</xdr:row>
                    <xdr:rowOff>133350</xdr:rowOff>
                  </from>
                  <to>
                    <xdr:col>2</xdr:col>
                    <xdr:colOff>828675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8" name="Option Button 25">
              <controlPr defaultSize="0" autoFill="0" autoLine="0" autoPict="0">
                <anchor moveWithCells="1">
                  <from>
                    <xdr:col>2</xdr:col>
                    <xdr:colOff>866775</xdr:colOff>
                    <xdr:row>1</xdr:row>
                    <xdr:rowOff>142875</xdr:rowOff>
                  </from>
                  <to>
                    <xdr:col>3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9" name="Option Button 26">
              <controlPr defaultSize="0" autoFill="0" autoLine="0" autoPict="0">
                <anchor moveWithCells="1">
                  <from>
                    <xdr:col>3</xdr:col>
                    <xdr:colOff>438150</xdr:colOff>
                    <xdr:row>1</xdr:row>
                    <xdr:rowOff>133350</xdr:rowOff>
                  </from>
                  <to>
                    <xdr:col>4</xdr:col>
                    <xdr:colOff>152400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0" name="Group Box 27">
              <controlPr defaultSize="0" autoFill="0" autoPict="0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1" name="Option Button 28">
              <controlPr defaultSize="0" autoFill="0" autoLine="0" autoPict="0">
                <anchor moveWithCells="1">
                  <from>
                    <xdr:col>0</xdr:col>
                    <xdr:colOff>200025</xdr:colOff>
                    <xdr:row>6</xdr:row>
                    <xdr:rowOff>104775</xdr:rowOff>
                  </from>
                  <to>
                    <xdr:col>1</xdr:col>
                    <xdr:colOff>161925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2" name="Option Button 29">
              <controlPr defaultSize="0" autoFill="0" autoLine="0" autoPict="0">
                <anchor moveWithCells="1">
                  <from>
                    <xdr:col>1</xdr:col>
                    <xdr:colOff>266700</xdr:colOff>
                    <xdr:row>6</xdr:row>
                    <xdr:rowOff>104775</xdr:rowOff>
                  </from>
                  <to>
                    <xdr:col>1</xdr:col>
                    <xdr:colOff>1333500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3" name="Option Button 30">
              <controlPr defaultSize="0" autoFill="0" autoLine="0" autoPict="0">
                <anchor moveWithCells="1">
                  <from>
                    <xdr:col>2</xdr:col>
                    <xdr:colOff>190500</xdr:colOff>
                    <xdr:row>6</xdr:row>
                    <xdr:rowOff>104775</xdr:rowOff>
                  </from>
                  <to>
                    <xdr:col>2</xdr:col>
                    <xdr:colOff>1266825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4" name="Option Button 31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104775</xdr:rowOff>
                  </from>
                  <to>
                    <xdr:col>3</xdr:col>
                    <xdr:colOff>1114425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5" name="Option Button 32">
              <controlPr defaultSize="0" autoFill="0" autoLine="0" autoPict="0">
                <anchor moveWithCells="1">
                  <from>
                    <xdr:col>4</xdr:col>
                    <xdr:colOff>190500</xdr:colOff>
                    <xdr:row>6</xdr:row>
                    <xdr:rowOff>95250</xdr:rowOff>
                  </from>
                  <to>
                    <xdr:col>4</xdr:col>
                    <xdr:colOff>981075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6" name="Option Button 33">
              <controlPr defaultSize="0" autoFill="0" autoLine="0" autoPict="0">
                <anchor moveWithCells="1">
                  <from>
                    <xdr:col>3</xdr:col>
                    <xdr:colOff>533400</xdr:colOff>
                    <xdr:row>11</xdr:row>
                    <xdr:rowOff>85725</xdr:rowOff>
                  </from>
                  <to>
                    <xdr:col>4</xdr:col>
                    <xdr:colOff>666750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3" operator="containsText" id="{A7A6B815-0D9E-4E65-8784-0F57AF0204D5}">
            <xm:f>NOT(ISERROR(SEARCH("Kitchen Area (14 ft x 20 ft per court) (Product Options)",B8)))</xm:f>
            <xm:f>"Kitchen Area (14 ft x 20 ft per court) (Product Options)"</xm:f>
            <x14:dxf>
              <font>
                <b/>
                <i val="0"/>
              </font>
              <fill>
                <patternFill>
                  <bgColor theme="2" tint="-9.9948118533890809E-2"/>
                </patternFill>
              </fill>
              <border>
                <left style="thin">
                  <color auto="1"/>
                </left>
                <right/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G8:G64 B63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E7B50F-1F23-4314-B774-2C673BAE8839}">
          <x14:formula1>
            <xm:f>'1 GALLON'!$A$1:$A$18</xm:f>
          </x14:formula1>
          <xm:sqref>B22 B26 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D381-EDEF-423D-8E59-8A31BD5358FC}">
  <sheetPr codeName="Sheet13"/>
  <dimension ref="A1:F35"/>
  <sheetViews>
    <sheetView topLeftCell="A6" zoomScale="70" zoomScaleNormal="70" workbookViewId="0">
      <selection activeCell="D25" sqref="D25"/>
    </sheetView>
  </sheetViews>
  <sheetFormatPr defaultRowHeight="15" x14ac:dyDescent="0.25"/>
  <cols>
    <col min="1" max="1" width="44.85546875" customWidth="1"/>
    <col min="2" max="3" width="35.7109375" customWidth="1"/>
    <col min="4" max="4" width="30.140625" bestFit="1" customWidth="1"/>
    <col min="5" max="5" width="15.7109375" bestFit="1" customWidth="1"/>
  </cols>
  <sheetData>
    <row r="1" spans="1:6" ht="30" customHeight="1" thickBot="1" x14ac:dyDescent="0.3">
      <c r="A1" s="146"/>
      <c r="B1" s="147"/>
      <c r="C1" s="148"/>
    </row>
    <row r="2" spans="1:6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6" ht="30" customHeight="1" thickBot="1" x14ac:dyDescent="0.3">
      <c r="A3" s="46" t="s">
        <v>8</v>
      </c>
      <c r="B3" s="57">
        <f>IF(Calculator!$A$5=1,SUM(Calculator!C5*Calculator!C6),IF(Calculator!$A$5=2,Calculator!C5,IF(Calculator!$A$5=3,SUM(Calculator!C5*9),IF(Calculator!$A$5=4,SUM(Calculator!C5*10.7639),""))))</f>
        <v>3200</v>
      </c>
      <c r="C3" s="56">
        <f>SUM(TennisReady[[#This Row],[Column2]]/9)</f>
        <v>355.55555555555554</v>
      </c>
    </row>
    <row r="4" spans="1:6" ht="30" customHeight="1" thickBot="1" x14ac:dyDescent="0.3">
      <c r="A4" s="46" t="s">
        <v>9</v>
      </c>
      <c r="B4" s="45">
        <f>Calculator!A9</f>
        <v>2</v>
      </c>
      <c r="C4" s="45"/>
    </row>
    <row r="5" spans="1:6" ht="30" customHeight="1" thickBot="1" x14ac:dyDescent="0.3">
      <c r="A5" s="47" t="s">
        <v>10</v>
      </c>
      <c r="B5" s="52">
        <f>MAX(0,(B3-B6))</f>
        <v>0</v>
      </c>
      <c r="C5" s="54">
        <f>SUM(TennisReady[[#This Row],[Column2]]/9)</f>
        <v>0</v>
      </c>
    </row>
    <row r="6" spans="1:6" ht="30" customHeight="1" x14ac:dyDescent="0.25">
      <c r="A6" s="51" t="s">
        <v>11</v>
      </c>
      <c r="B6" s="53">
        <f>SUM(2808*B4)</f>
        <v>5616</v>
      </c>
      <c r="C6" s="54">
        <f>SUM(TennisReady[[#This Row],[Column2]]/9)</f>
        <v>624</v>
      </c>
    </row>
    <row r="7" spans="1:6" ht="30" customHeight="1" thickBot="1" x14ac:dyDescent="0.3">
      <c r="A7" s="68" t="s">
        <v>12</v>
      </c>
      <c r="B7" s="69" t="s">
        <v>13</v>
      </c>
      <c r="C7" s="80" t="s">
        <v>14</v>
      </c>
      <c r="D7" s="60" t="s">
        <v>15</v>
      </c>
    </row>
    <row r="8" spans="1:6" ht="30" customHeight="1" thickBot="1" x14ac:dyDescent="0.3">
      <c r="A8" s="46" t="s">
        <v>16</v>
      </c>
      <c r="B8" s="79" t="s">
        <v>17</v>
      </c>
      <c r="C8" s="54" t="s">
        <v>18</v>
      </c>
      <c r="D8" s="39" t="s">
        <v>19</v>
      </c>
    </row>
    <row r="9" spans="1:6" ht="30" customHeight="1" thickBot="1" x14ac:dyDescent="0.3">
      <c r="A9" s="46" t="s">
        <v>20</v>
      </c>
      <c r="B9" s="79" t="s">
        <v>17</v>
      </c>
      <c r="C9" s="54" t="s">
        <v>21</v>
      </c>
      <c r="D9" s="39" t="s">
        <v>22</v>
      </c>
    </row>
    <row r="10" spans="1:6" ht="30" customHeight="1" thickBot="1" x14ac:dyDescent="0.3">
      <c r="A10" s="46" t="s">
        <v>23</v>
      </c>
      <c r="B10" s="79" t="s">
        <v>24</v>
      </c>
      <c r="C10" s="54" t="s">
        <v>21</v>
      </c>
      <c r="D10" s="39" t="s">
        <v>25</v>
      </c>
    </row>
    <row r="11" spans="1:6" ht="30" customHeight="1" thickBot="1" x14ac:dyDescent="0.3">
      <c r="A11" s="68" t="s">
        <v>26</v>
      </c>
      <c r="B11" s="69" t="s">
        <v>27</v>
      </c>
      <c r="C11" s="69" t="s">
        <v>28</v>
      </c>
      <c r="D11" s="67" t="s">
        <v>29</v>
      </c>
      <c r="E11" s="60" t="s">
        <v>30</v>
      </c>
    </row>
    <row r="12" spans="1:6" ht="30" customHeight="1" thickBot="1" x14ac:dyDescent="0.3">
      <c r="A12" s="46" t="s">
        <v>31</v>
      </c>
      <c r="B12" s="70" t="str">
        <f>IF(OR(Calculator!$A$3=1,Calculator!$A$3=3),1,IF(OR(Calculator!$A$3=2,Calculator!$A$3=4),""))</f>
        <v/>
      </c>
      <c r="C12" s="71" t="str">
        <f>IFERROR(IF(Calculator!$A$3=1,ROUNDUP(SUM(VLOOKUP(PickleballReady[[#This Row],[Column1]],GALLON55READY[#All],3,FALSE)*$C$3*PickleballReady[[#This Row],[Column2]]),0),IF(Calculator!$A$3=2,ROUNDUP(SUM(VLOOKUP(PickleballReady[[#This Row],[Column1]],GALLON55READY[#All],4,FALSE)*$C$3*PickleballReady[[#This Row],[Column2]])*TennisReady[[#This Row],[Column2]],0),IF(Calculator!$A$3=3,ROUNDUP(SUM(VLOOKUP(PickleballReady[[#This Row],[Column1]],GALLON55READY[#All],5,FALSE)*$C$3*PickleballReady[[#This Row],[Column2]]),0),IF(Calculator!$A$3=4,ROUNDUP(SUM(VLOOKUP(PickleballReady[[#This Row],[Column1]],GALLON55READY[#All],6,FALSE)*$C$3*PickleballReady[[#This Row],[Column2]]),0))))),"")</f>
        <v/>
      </c>
      <c r="D12" s="82" t="str">
        <f>IFERROR(ROUNDUP(SUM(TennisReady[[#This Row],[Column3]]/IF(Calculator!$A$2=1,5,IF(Calculator!$A$2=2,30,IF(Calculator!$A$2=3,55,"")))),0),"")</f>
        <v/>
      </c>
      <c r="E12" s="61" t="str">
        <f>VLOOKUP(A12,GALLON55READY[],2,0)&amp;IF(Calculator!$A$2=1,"P",IF(Calculator!$A$2=2,"K",IF(Calculator!$A$2=3,"D","")))</f>
        <v>C1650D</v>
      </c>
    </row>
    <row r="13" spans="1:6" ht="30" customHeight="1" x14ac:dyDescent="0.25">
      <c r="A13" s="47" t="s">
        <v>32</v>
      </c>
      <c r="B13" s="70">
        <f>IF(OR(Calculator!$A$3=3,Calculator!$A$3=4,Calculator!$A$3=1),1,IF(Calculator!$A$3=2,2,""))</f>
        <v>2</v>
      </c>
      <c r="C13" s="71">
        <f>IF(Calculator!$A$3=1,ROUNDUP(SUM(VLOOKUP('TENNIS READY'!A13,GALLON55READY[#All],3,FALSE)*$C$3),0),IF(Calculator!$A$3=2,ROUNDUP(SUM(VLOOKUP('TENNIS READY'!A13,GALLON55READY[#All],4,FALSE)*$C$3)*TennisReady[[#This Row],[Column2]],0),IF(Calculator!$A$3=3,ROUNDUP(SUM(VLOOKUP('TENNIS READY'!A13,GALLON55READY[#All],5,FALSE)*$C$3),0),IF(Calculator!$A$3=4,ROUNDUP(SUM(VLOOKUP('TENNIS READY'!A13,GALLON55READY[#All],6,FALSE)*$C$3),0)))))</f>
        <v>93</v>
      </c>
      <c r="D13" s="61">
        <f>ROUNDUP(SUM(TennisReady[[#This Row],[Column3]]/IF(Calculator!$A$2=1,5,IF(Calculator!$A$2=2,30,IF(Calculator!$A$2=3,55,"")))),0)</f>
        <v>2</v>
      </c>
      <c r="E13" s="39" t="str">
        <f>VLOOKUP(A13,GALLON55READY[],2,0)&amp;IF(Calculator!$A$2=1,"P",IF(Calculator!$A$2=2,"K",IF(Calculator!$A$2=3,"D","")))</f>
        <v>C1330D</v>
      </c>
    </row>
    <row r="14" spans="1:6" ht="30" customHeight="1" x14ac:dyDescent="0.25">
      <c r="A14" s="68" t="s">
        <v>33</v>
      </c>
      <c r="B14" s="69" t="s">
        <v>27</v>
      </c>
      <c r="C14" s="69" t="s">
        <v>28</v>
      </c>
      <c r="D14" s="67" t="s">
        <v>29</v>
      </c>
      <c r="E14" s="60" t="s">
        <v>30</v>
      </c>
    </row>
    <row r="15" spans="1:6" ht="30" customHeight="1" x14ac:dyDescent="0.25">
      <c r="A15" s="47" t="s">
        <v>34</v>
      </c>
      <c r="B15" s="70">
        <v>2</v>
      </c>
      <c r="C15" s="71">
        <f>IF(Calculator!$A$3=1,ROUNDUP(SUM(VLOOKUP('TENNIS READY'!A15,GALLON55READY[#All],3,FALSE)*$C$5*TennisReady[[#This Row],[Column2]]),0),IF(Calculator!$A$3=2,ROUNDUP(SUM(VLOOKUP('TENNIS READY'!A15,GALLON55READY[#All],4,FALSE)*$C$5*TennisReady[[#This Row],[Column2]]),0),IF(Calculator!$A$3=3,ROUNDUP(SUM(VLOOKUP('TENNIS READY'!A15,GALLON55READY[#All],5,FALSE)*$C$5*TennisReady[[#This Row],[Column2]]),0),IF(Calculator!$A$3=4,ROUNDUP(SUM(VLOOKUP('TENNIS READY'!A15,GALLON55READY[#All],6,FALSE)*$C$5*TennisReady[[#This Row],[Column2]]),0)))))</f>
        <v>0</v>
      </c>
      <c r="D15" s="61">
        <f>ROUNDUP(SUM(TennisReady[[#This Row],[Column3]]/IF(Calculator!$A$2=1,5,IF(Calculator!$A$2=2,30,IF(Calculator!$A$2=3,55,"")))),0)</f>
        <v>0</v>
      </c>
      <c r="E15" s="39" t="str">
        <f>VLOOKUP(A15,GALLON55READY[],2,0)&amp;IF(Calculator!$A$2=1,"P",IF(Calculator!$A$2=2,"K",IF(Calculator!$A$2=3,"D","")))</f>
        <v>C1365D</v>
      </c>
    </row>
    <row r="16" spans="1:6" ht="30" customHeight="1" x14ac:dyDescent="0.25">
      <c r="A16" s="47" t="str">
        <f>Calculator!B22</f>
        <v>Light Blue ColorPlus</v>
      </c>
      <c r="B16" s="70"/>
      <c r="C16" s="71"/>
      <c r="D16" s="61" t="str">
        <f>IF(Calculator!$A$2=1,(D15*2),IF(Calculator!$A$2=2,(D15*2),IF(Calculator!$A$2=3,(D15*4),"")))&amp; IF(OR(Calculator!$A$2=2,Calculator!$A$2=3)," - 1 Gallon Pail(s)",IF(Calculator!$A$2=1," - 24 OZ Jar(s)"))</f>
        <v>0 - 1 Gallon Pail(s)</v>
      </c>
      <c r="E16" s="39" t="str">
        <f>IFERROR(IF(Calculator!$A$2=1,VLOOKUP(TennisReady[[#This Row],[Column1]],OZ_JARS[],2,0),IF(OR(Calculator!$A$2=2,Calculator!$A$2=3),VLOOKUP(TennisReady[[#This Row],[Column1]],'1 GALLON'!A2:G19,2,0),"")),"")</f>
        <v>C1385G</v>
      </c>
      <c r="F16" t="s">
        <v>35</v>
      </c>
    </row>
    <row r="17" spans="1:5" ht="30" customHeight="1" x14ac:dyDescent="0.25">
      <c r="A17" s="47" t="s">
        <v>36</v>
      </c>
      <c r="B17" s="70">
        <v>2</v>
      </c>
      <c r="C17" s="71">
        <f>IF(Calculator!$A$3=1,ROUNDUP(SUM(VLOOKUP('TENNIS READY'!A17,GALLON55READY[#All],3,FALSE)*$C$5*TennisReady[[#This Row],[Column2]]),0),IF(Calculator!$A$3=2,ROUNDUP(SUM(VLOOKUP('TENNIS READY'!A17,GALLON55READY[#All],4,FALSE)*$C$5*TennisReady[[#This Row],[Column2]]),0),IF(Calculator!$A$3=3,ROUNDUP(SUM(VLOOKUP('TENNIS READY'!A17,GALLON55READY[#All],5,FALSE)*$C$5*TennisReady[[#This Row],[Column2]]),0),IF(Calculator!$A$3=4,ROUNDUP(SUM(VLOOKUP('TENNIS READY'!A17,GALLON55READY[#All],6,FALSE)*$C$5*TennisReady[[#This Row],[Column2]]),0)))))</f>
        <v>0</v>
      </c>
      <c r="D17" s="61">
        <f>ROUNDUP(SUM(TennisReady[[#This Row],[Column3]]/5),0)</f>
        <v>0</v>
      </c>
      <c r="E17" s="39" t="str">
        <f>VLOOKUP(A17,GALLON55READY[],2,0)</f>
        <v>C1285P</v>
      </c>
    </row>
    <row r="18" spans="1:5" ht="30" customHeight="1" x14ac:dyDescent="0.25">
      <c r="A18" s="47" t="str">
        <f>Calculator!$B$22</f>
        <v>Light Blue ColorPlus</v>
      </c>
      <c r="B18" s="70"/>
      <c r="C18" s="71"/>
      <c r="D18" s="61" t="str">
        <f>SUM(D17*1)&amp; IF(OR(A17="Ready-Mix Color",A17="PickleMaster RTU")," - 24 OZ Jar(s)","")</f>
        <v>0 - 24 OZ Jar(s)</v>
      </c>
      <c r="E18" s="39" t="str">
        <f>(IFERROR(IF(OR(A17="Ready-Mix Color",A17="PickleMaster RTU"),VLOOKUP(TennisReady[[#This Row],[Column1]],OZ_JARS[],2,0)),""))</f>
        <v>C1385J</v>
      </c>
    </row>
    <row r="19" spans="1:5" ht="30" customHeight="1" x14ac:dyDescent="0.25">
      <c r="A19" s="68" t="s">
        <v>37</v>
      </c>
      <c r="B19" s="69" t="s">
        <v>27</v>
      </c>
      <c r="C19" s="69" t="s">
        <v>28</v>
      </c>
      <c r="D19" s="67" t="s">
        <v>29</v>
      </c>
      <c r="E19" s="60" t="s">
        <v>30</v>
      </c>
    </row>
    <row r="20" spans="1:5" ht="30" customHeight="1" x14ac:dyDescent="0.25">
      <c r="A20" s="47" t="s">
        <v>34</v>
      </c>
      <c r="B20" s="70">
        <v>2</v>
      </c>
      <c r="C20" s="71">
        <f>IF(Calculator!$A$3=1,ROUNDUP(SUM(VLOOKUP('TENNIS READY'!A20,GALLON55READY[#All],3,FALSE)*$C$6*TennisReady[[#This Row],[Column2]]),0),IF(Calculator!$A$3=2,ROUNDUP(SUM(VLOOKUP('TENNIS READY'!A20,GALLON55READY[#All],4,FALSE)*$C$6*TennisReady[[#This Row],[Column2]]),0),IF(Calculator!$A$3=3,ROUNDUP(SUM(VLOOKUP('TENNIS READY'!A20,GALLON55READY[#All],5,FALSE)*$C$6*TennisReady[[#This Row],[Column2]]),0),IF(Calculator!$A$3=4,ROUNDUP(SUM(VLOOKUP('TENNIS READY'!A20,GALLON55READY[#All],6,FALSE)*$C$6*TennisReady[[#This Row],[Column2]]),0)))))</f>
        <v>113</v>
      </c>
      <c r="D20" s="61">
        <f>ROUNDUP(SUM(TennisReady[[#This Row],[Column3]]/IF(Calculator!$A$2=1,5,IF(Calculator!$A$2=2,30,IF(Calculator!$A$2=3,55,"")))),0)</f>
        <v>3</v>
      </c>
      <c r="E20" s="39" t="str">
        <f>VLOOKUP(A20,GALLON55READY[],2,0)&amp;IF(Calculator!$A$2=1,"P",IF(Calculator!$A$2=2,"K",IF(Calculator!$A$2=3,"D","")))</f>
        <v>C1365D</v>
      </c>
    </row>
    <row r="21" spans="1:5" ht="30" customHeight="1" x14ac:dyDescent="0.25">
      <c r="A21" s="47" t="str">
        <f>Calculator!B24</f>
        <v>Blue ColorPlus</v>
      </c>
      <c r="B21" s="70"/>
      <c r="C21" s="61"/>
      <c r="D21" s="61" t="str">
        <f>IF(Calculator!$A$2=1,(D20*2),IF(Calculator!$A$2=2,(D20*2),IF(Calculator!$A$2=3,(D20*4),"")))&amp; IF(OR(Calculator!$A$2=2,Calculator!$A$2=3)," - 1 Gallon Pail(s)",IF(Calculator!$A$2=1," - 24 OZ Jar(s)"))</f>
        <v>12 - 1 Gallon Pail(s)</v>
      </c>
      <c r="E21" s="39" t="str">
        <f>IFERROR(IF(Calculator!$A$2=1,VLOOKUP(TennisReady[[#This Row],[Column1]],OZ_JARS[],2,0),IF(OR(Calculator!$A$2=2,Calculator!$A$2=3),VLOOKUP(TennisReady[[#This Row],[Column1]],'1 GALLON'!A2:G19,2,0),"")),"")</f>
        <v>C1384G</v>
      </c>
    </row>
    <row r="22" spans="1:5" ht="30" customHeight="1" x14ac:dyDescent="0.25">
      <c r="A22" s="47" t="s">
        <v>36</v>
      </c>
      <c r="B22" s="70">
        <v>2</v>
      </c>
      <c r="C22" s="71">
        <f>IF(Calculator!$A$3=1,ROUNDUP(SUM(VLOOKUP('TENNIS READY'!A22,GALLON55READY[#All],3,FALSE)*$C$6*TennisReady[[#This Row],[Column2]]),0),IF(Calculator!$A$3=2,ROUNDUP(SUM(VLOOKUP('TENNIS READY'!A22,GALLON55READY[#All],4,FALSE)*$C$6*TennisReady[[#This Row],[Column2]]),0),IF(Calculator!$A$3=3,ROUNDUP(SUM(VLOOKUP('TENNIS READY'!A22,GALLON55READY[#All],5,FALSE)*$C$6*TennisReady[[#This Row],[Column2]]),0),IF(Calculator!$A$3=4,ROUNDUP(SUM(VLOOKUP('TENNIS READY'!A22,GALLON55READY[#All],6,FALSE)*$C$6*TennisReady[[#This Row],[Column2]]),0)))))</f>
        <v>138</v>
      </c>
      <c r="D22" s="61">
        <f>ROUNDUP(SUM(TennisReady[[#This Row],[Column3]]/5),0)</f>
        <v>28</v>
      </c>
      <c r="E22" s="39" t="str">
        <f>VLOOKUP(A22,GALLON55READY[],2,0)</f>
        <v>C1285P</v>
      </c>
    </row>
    <row r="23" spans="1:5" ht="30" customHeight="1" x14ac:dyDescent="0.25">
      <c r="A23" s="47" t="str">
        <f>Calculator!B24</f>
        <v>Blue ColorPlus</v>
      </c>
      <c r="B23" s="70"/>
      <c r="C23" s="61"/>
      <c r="D23" s="61" t="str">
        <f>SUM(D22*1)&amp; IF(OR(A22="Ready-Mix Color",A22="PickleMaster RTU")," - 24 OZ Jar(s)","")</f>
        <v>28 - 24 OZ Jar(s)</v>
      </c>
      <c r="E23" s="39" t="str">
        <f>IFERROR(IF(OR(A22="Ready-Mix Color",A22="PickleMaster RTU"),VLOOKUP(TennisReady[[#This Row],[Column1]],OZ_JARS[],2,0)),"")</f>
        <v>C1384J</v>
      </c>
    </row>
    <row r="24" spans="1:5" ht="30" customHeight="1" x14ac:dyDescent="0.25">
      <c r="A24" s="68" t="s">
        <v>38</v>
      </c>
      <c r="B24" s="69" t="s">
        <v>27</v>
      </c>
      <c r="C24" s="69" t="s">
        <v>28</v>
      </c>
      <c r="D24" s="67" t="s">
        <v>29</v>
      </c>
      <c r="E24" s="60" t="s">
        <v>30</v>
      </c>
    </row>
    <row r="25" spans="1:5" ht="30" customHeight="1" x14ac:dyDescent="0.25">
      <c r="A25" s="72" t="s">
        <v>39</v>
      </c>
      <c r="B25" s="70"/>
      <c r="C25" s="39"/>
      <c r="D25" s="61"/>
      <c r="E25" s="39"/>
    </row>
    <row r="26" spans="1:5" ht="30" customHeight="1" x14ac:dyDescent="0.25">
      <c r="A26" s="47" t="s">
        <v>40</v>
      </c>
      <c r="B26" s="70">
        <v>3</v>
      </c>
      <c r="C26" s="71">
        <f>IF(Calculator!$A$3=1,ROUNDUP(SUM(VLOOKUP('TENNIS READY'!A26,GALLON55READY[#All],3,FALSE)*$C$3*TennisReady[[#This Row],[Column2]]),0),IF(Calculator!$A$3=2,ROUNDUP(SUM(VLOOKUP('TENNIS READY'!A26,GALLON55READY[#All],4,FALSE)*$C$3*TennisReady[[#This Row],[Column2]]),0),IF(Calculator!$A$3=3,ROUNDUP(SUM(VLOOKUP('TENNIS READY'!A26,GALLON55READY[#All],5,FALSE)*$C$3*TennisReady[[#This Row],[Column2]]),0),IF(Calculator!$A$3=4,ROUNDUP(SUM(VLOOKUP('TENNIS READY'!A26,GALLON55READY[#All],6,FALSE)*$C$3*TennisReady[[#This Row],[Column2]]),0)))))</f>
        <v>160</v>
      </c>
      <c r="D26" s="61">
        <f>ROUNDUP(SUM(TennisReady[[#This Row],[Column3]]/IF(Calculator!$A$2=1,5,IF(Calculator!$A$2=2,30,IF(Calculator!$A$2=3,55,"")))),0)</f>
        <v>3</v>
      </c>
      <c r="E26" s="39" t="str">
        <f>VLOOKUP(A26,GALLON55READY[],2,0)&amp;IF(Calculator!$A$2=1,"P",IF(Calculator!$A$2=2,"K",IF(Calculator!$A$2=3,"D","")))</f>
        <v>C1460D</v>
      </c>
    </row>
    <row r="27" spans="1:5" ht="30" customHeight="1" x14ac:dyDescent="0.25">
      <c r="A27" s="47" t="s">
        <v>41</v>
      </c>
      <c r="B27" s="70">
        <v>2</v>
      </c>
      <c r="C27" s="71">
        <f>IF(Calculator!$A$3=1,ROUNDUP(SUM(VLOOKUP('TENNIS READY'!A27,GALLON55READY[#All],3,FALSE)*$C$3*TennisReady[[#This Row],[Column2]]),0),IF(Calculator!$A$3=2,ROUNDUP(SUM(VLOOKUP('TENNIS READY'!A27,GALLON55READY[#All],4,FALSE)*$C$3*TennisReady[[#This Row],[Column2]]),0),IF(Calculator!$A$3=3,ROUNDUP(SUM(VLOOKUP('TENNIS READY'!A27,GALLON55READY[#All],5,FALSE)*$C$3*TennisReady[[#This Row],[Column2]]),0),IF(Calculator!$A$3=4,ROUNDUP(SUM(VLOOKUP('TENNIS READY'!A27,GALLON55READY[#All],6,FALSE)*$C$3*TennisReady[[#This Row],[Column2]]),0)))))</f>
        <v>72</v>
      </c>
      <c r="D27" s="61">
        <f>ROUNDUP(SUM(TennisReady[[#This Row],[Column3]]/IF(Calculator!$A$2=1,5,IF(Calculator!$A$2=2,30,IF(Calculator!$A$2=3,55,"")))),0)</f>
        <v>2</v>
      </c>
      <c r="E27" s="39" t="str">
        <f>VLOOKUP(A27,GALLON55READY[],2,0)&amp;IF(Calculator!$A$2=1,"P",IF(Calculator!$A$2=2,"K",IF(Calculator!$A$2=3,"D","")))</f>
        <v>C1450D</v>
      </c>
    </row>
    <row r="28" spans="1:5" ht="30" customHeight="1" x14ac:dyDescent="0.25">
      <c r="A28" s="72" t="s">
        <v>42</v>
      </c>
      <c r="B28" s="39"/>
      <c r="C28" s="39"/>
      <c r="D28" s="61"/>
      <c r="E28" s="60"/>
    </row>
    <row r="29" spans="1:5" ht="30" customHeight="1" x14ac:dyDescent="0.25">
      <c r="A29" s="47" t="s">
        <v>40</v>
      </c>
      <c r="B29" s="70">
        <v>5</v>
      </c>
      <c r="C29" s="71">
        <f>IF(Calculator!$A$3=1,ROUNDUP(SUM(VLOOKUP('TENNIS READY'!A29,GALLON55READY[#All],3,FALSE)*$C$3*TennisReady[[#This Row],[Column2]]),0),IF(Calculator!$A$3=2,ROUNDUP(SUM(VLOOKUP('TENNIS READY'!A29,GALLON55READY[#All],4,FALSE)*$C$3*TennisReady[[#This Row],[Column2]]),0),IF(Calculator!$A$3=3,ROUNDUP(SUM(VLOOKUP('TENNIS READY'!A29,GALLON55READY[#All],5,FALSE)*$C$3*TennisReady[[#This Row],[Column2]]),0),IF(Calculator!$A$3=4,ROUNDUP(SUM(VLOOKUP('TENNIS READY'!A29,GALLON55READY[#All],6,FALSE)*$C$3*TennisReady[[#This Row],[Column2]]),0)))))</f>
        <v>267</v>
      </c>
      <c r="D29" s="61">
        <f>ROUNDUP(SUM(TennisReady[[#This Row],[Column3]]/IF(Calculator!$A$2=1,5,IF(Calculator!$A$2=2,30,IF(Calculator!$A$2=3,55,"")))),0)</f>
        <v>5</v>
      </c>
      <c r="E29" s="39" t="str">
        <f>VLOOKUP(A29,GALLON55READY[],2,0)&amp;IF(Calculator!$A$2=1,"P",IF(Calculator!$A$2=2,"K",IF(Calculator!$A$2=3,"D","")))</f>
        <v>C1460D</v>
      </c>
    </row>
    <row r="30" spans="1:5" ht="30" customHeight="1" x14ac:dyDescent="0.25">
      <c r="A30" s="47" t="s">
        <v>41</v>
      </c>
      <c r="B30" s="70">
        <v>2</v>
      </c>
      <c r="C30" s="71">
        <f>IF(Calculator!$A$3=1,ROUNDUP(SUM(VLOOKUP('TENNIS READY'!A30,GALLON55READY[#All],3,FALSE)*$C$3*TennisReady[[#This Row],[Column2]]),0),IF(Calculator!$A$3=2,ROUNDUP(SUM(VLOOKUP('TENNIS READY'!A30,GALLON55READY[#All],4,FALSE)*$C$3*TennisReady[[#This Row],[Column2]]),0),IF(Calculator!$A$3=3,ROUNDUP(SUM(VLOOKUP('TENNIS READY'!A30,GALLON55READY[#All],5,FALSE)*$C$3*TennisReady[[#This Row],[Column2]]),0),IF(Calculator!$A$3=4,ROUNDUP(SUM(VLOOKUP('TENNIS READY'!A30,GALLON55READY[#All],6,FALSE)*$C$3*TennisReady[[#This Row],[Column2]]),0)))))</f>
        <v>72</v>
      </c>
      <c r="D30" s="61">
        <f>ROUNDUP(SUM(TennisReady[[#This Row],[Column3]]/IF(Calculator!$A$2=1,5,IF(Calculator!$A$2=2,30,IF(Calculator!$A$2=3,55,"")))),0)</f>
        <v>2</v>
      </c>
      <c r="E30" s="39" t="str">
        <f>VLOOKUP(A30,GALLON55READY[],2,0)&amp;IF(Calculator!$A$2=1,"P",IF(Calculator!$A$2=2,"K",IF(Calculator!$A$2=3,"D","")))</f>
        <v>C1450D</v>
      </c>
    </row>
    <row r="31" spans="1:5" ht="30" customHeight="1" x14ac:dyDescent="0.25">
      <c r="A31" s="68" t="s">
        <v>43</v>
      </c>
      <c r="B31" s="69" t="s">
        <v>27</v>
      </c>
      <c r="C31" s="69" t="s">
        <v>28</v>
      </c>
      <c r="D31" s="39"/>
      <c r="E31" s="60" t="s">
        <v>30</v>
      </c>
    </row>
    <row r="32" spans="1:5" ht="30" customHeight="1" x14ac:dyDescent="0.25">
      <c r="A32" s="47" t="s">
        <v>44</v>
      </c>
      <c r="B32" s="70">
        <v>1</v>
      </c>
      <c r="C32" s="70">
        <f>ROUNDUP(SUM(1*B4),0)</f>
        <v>2</v>
      </c>
      <c r="D32" s="39">
        <f>TennisReady[[#This Row],[Column3]]</f>
        <v>2</v>
      </c>
      <c r="E32" s="39" t="str">
        <f>VLOOKUP(TennisReady[[#This Row],[Column1]],GALLON55READY[],2,0)</f>
        <v>C1610G</v>
      </c>
    </row>
    <row r="33" spans="1:5" ht="30" customHeight="1" x14ac:dyDescent="0.25">
      <c r="A33" s="47" t="s">
        <v>45</v>
      </c>
      <c r="B33" s="70">
        <v>1</v>
      </c>
      <c r="C33" s="70">
        <f>ROUNDUP(SUM(1*B4),0)</f>
        <v>2</v>
      </c>
      <c r="D33" s="39">
        <f>TennisReady[[#This Row],[Column3]]</f>
        <v>2</v>
      </c>
      <c r="E33" s="39" t="str">
        <f>VLOOKUP(TennisReady[[#This Row],[Column1]],GALLON55READY[],2,0)</f>
        <v>C1620G</v>
      </c>
    </row>
    <row r="34" spans="1:5" ht="30" customHeight="1" x14ac:dyDescent="0.25">
      <c r="A34" s="68" t="s">
        <v>46</v>
      </c>
      <c r="B34" s="69" t="s">
        <v>47</v>
      </c>
      <c r="C34" s="39"/>
      <c r="D34" s="39"/>
      <c r="E34" s="39"/>
    </row>
    <row r="35" spans="1:5" ht="15.75" thickBot="1" x14ac:dyDescent="0.3">
      <c r="A35" s="48" t="s">
        <v>48</v>
      </c>
      <c r="B35" s="58">
        <f>ROUNDUP(SUM(8*B4),0)</f>
        <v>16</v>
      </c>
      <c r="C35" s="39"/>
      <c r="D35" s="39"/>
      <c r="E35" s="39"/>
    </row>
  </sheetData>
  <sheetProtection algorithmName="SHA-512" hashValue="6INhycDACYL0ALDHBuWhluKbfZf9ioY973YAgJon2ELAZZb9aUmOyIKszWo5QUzNu65NdcWk8fqeDg3GgKM1lA==" saltValue="KdGZMNcS9I0d3p8TcQ+Yhw==" spinCount="100000" sheet="1" formatCells="0" formatColumns="0" formatRows="0" insertColumns="0" insertRows="0" insertHyperlinks="0" deleteColumns="0" deleteRows="0" sort="0" autoFilter="0" pivotTables="0"/>
  <mergeCells count="1">
    <mergeCell ref="A1:C1"/>
  </mergeCells>
  <phoneticPr fontId="9" type="noConversion"/>
  <conditionalFormatting sqref="B3">
    <cfRule type="cellIs" dxfId="92" priority="1" operator="equal">
      <formula>0</formula>
    </cfRule>
  </conditionalFormatting>
  <dataValidations count="1">
    <dataValidation type="list" allowBlank="1" showInputMessage="1" showErrorMessage="1" sqref="A1:C1 C3" xr:uid="{00432F7D-41AE-432E-8EB3-664AC013294D}">
      <formula1>Court_DropDowns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1E1B8C-C29F-4948-8F28-1F8525E37A72}">
          <x14:formula1>
            <xm:f>'1 GALLON'!$A$1:$A$18</xm:f>
          </x14:formula1>
          <xm:sqref>A16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1AF8C-9592-457F-A4E6-2D0483C0FEDD}">
  <sheetPr codeName="Sheet11"/>
  <dimension ref="A1:E34"/>
  <sheetViews>
    <sheetView topLeftCell="A8" zoomScale="70" zoomScaleNormal="70" workbookViewId="0">
      <selection activeCell="D25" sqref="D25"/>
    </sheetView>
  </sheetViews>
  <sheetFormatPr defaultRowHeight="15" x14ac:dyDescent="0.25"/>
  <cols>
    <col min="1" max="1" width="40.7109375" customWidth="1"/>
    <col min="2" max="3" width="35.7109375" customWidth="1"/>
    <col min="4" max="4" width="30.140625" bestFit="1" customWidth="1"/>
    <col min="5" max="5" width="15.7109375" bestFit="1" customWidth="1"/>
  </cols>
  <sheetData>
    <row r="1" spans="1:5" ht="30" customHeight="1" thickBot="1" x14ac:dyDescent="0.3">
      <c r="A1" s="146"/>
      <c r="B1" s="147"/>
      <c r="C1" s="148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5" ht="30" customHeight="1" thickBot="1" x14ac:dyDescent="0.3">
      <c r="A3" s="46" t="s">
        <v>8</v>
      </c>
      <c r="B3" s="57">
        <f>IF(Calculator!$A$5=1,SUM(Calculator!C5*Calculator!C6),IF(Calculator!$A$5=2,Calculator!C5,IF(Calculator!$A$5=3,SUM(Calculator!C5*9),IF(Calculator!$A$5=4,SUM(Calculator!C5*10.7639),""))))</f>
        <v>3200</v>
      </c>
      <c r="C3" s="56">
        <f>SUM(TennisConc[[#This Row],[Column2]]/9)</f>
        <v>355.55555555555554</v>
      </c>
    </row>
    <row r="4" spans="1:5" ht="30" customHeight="1" thickBot="1" x14ac:dyDescent="0.3">
      <c r="A4" s="46" t="s">
        <v>9</v>
      </c>
      <c r="B4" s="45">
        <f>Calculator!A9</f>
        <v>2</v>
      </c>
      <c r="C4" s="45"/>
    </row>
    <row r="5" spans="1:5" ht="30" customHeight="1" thickBot="1" x14ac:dyDescent="0.3">
      <c r="A5" s="47" t="s">
        <v>10</v>
      </c>
      <c r="B5" s="52">
        <f>MAX(0,(B3-B6))</f>
        <v>0</v>
      </c>
      <c r="C5" s="54">
        <f>SUM(TennisConc[[#This Row],[Column2]]/9)</f>
        <v>0</v>
      </c>
    </row>
    <row r="6" spans="1:5" ht="30" customHeight="1" x14ac:dyDescent="0.25">
      <c r="A6" s="51" t="s">
        <v>11</v>
      </c>
      <c r="B6" s="53">
        <f>SUM(2808*B4)</f>
        <v>5616</v>
      </c>
      <c r="C6" s="54">
        <f>SUM(TennisConc[[#This Row],[Column2]]/9)</f>
        <v>624</v>
      </c>
    </row>
    <row r="7" spans="1:5" ht="30" customHeight="1" thickBot="1" x14ac:dyDescent="0.3">
      <c r="A7" s="68" t="s">
        <v>12</v>
      </c>
      <c r="B7" s="69" t="s">
        <v>13</v>
      </c>
      <c r="C7" s="80" t="s">
        <v>14</v>
      </c>
      <c r="D7" s="60" t="s">
        <v>15</v>
      </c>
    </row>
    <row r="8" spans="1:5" ht="30" customHeight="1" thickBot="1" x14ac:dyDescent="0.3">
      <c r="A8" s="46" t="s">
        <v>16</v>
      </c>
      <c r="B8" s="79" t="s">
        <v>17</v>
      </c>
      <c r="C8" s="54" t="s">
        <v>18</v>
      </c>
      <c r="D8" s="39" t="s">
        <v>19</v>
      </c>
    </row>
    <row r="9" spans="1:5" ht="30" customHeight="1" thickBot="1" x14ac:dyDescent="0.3">
      <c r="A9" s="46" t="s">
        <v>20</v>
      </c>
      <c r="B9" s="79" t="s">
        <v>17</v>
      </c>
      <c r="C9" s="54" t="s">
        <v>21</v>
      </c>
      <c r="D9" s="39" t="s">
        <v>22</v>
      </c>
    </row>
    <row r="10" spans="1:5" ht="30" customHeight="1" thickBot="1" x14ac:dyDescent="0.3">
      <c r="A10" s="46" t="s">
        <v>23</v>
      </c>
      <c r="B10" s="79" t="s">
        <v>24</v>
      </c>
      <c r="C10" s="54" t="s">
        <v>21</v>
      </c>
      <c r="D10" s="39" t="s">
        <v>25</v>
      </c>
    </row>
    <row r="11" spans="1:5" ht="30" customHeight="1" thickBot="1" x14ac:dyDescent="0.3">
      <c r="A11" s="68" t="s">
        <v>26</v>
      </c>
      <c r="B11" s="69" t="s">
        <v>27</v>
      </c>
      <c r="C11" s="69" t="s">
        <v>49</v>
      </c>
      <c r="D11" s="67" t="s">
        <v>29</v>
      </c>
      <c r="E11" s="60" t="s">
        <v>30</v>
      </c>
    </row>
    <row r="12" spans="1:5" ht="30" customHeight="1" thickBot="1" x14ac:dyDescent="0.3">
      <c r="A12" s="46" t="s">
        <v>31</v>
      </c>
      <c r="B12" s="70" t="str">
        <f>IF(OR(Calculator!$A$3=1,Calculator!$A$3=3),1,IF(OR(Calculator!$A$3=2,Calculator!$A$3=4),""))</f>
        <v/>
      </c>
      <c r="C12" s="71" t="str">
        <f>IFERROR(IF(Calculator!$A$3=1,ROUNDUP(SUM(VLOOKUP(PickleballReady[[#This Row],[Column1]],GALLON55READY[#All],3,FALSE)*$C$3*PickleballReady[[#This Row],[Column2]]),0),IF(Calculator!$A$3=2,ROUNDUP(SUM(VLOOKUP(PickleballReady[[#This Row],[Column1]],GALLON55READY[#All],4,FALSE)*$C$3*PickleballReady[[#This Row],[Column2]])*TennisReady[[#This Row],[Column2]],0),IF(Calculator!$A$3=3,ROUNDUP(SUM(VLOOKUP(PickleballReady[[#This Row],[Column1]],GALLON55READY[#All],5,FALSE)*$C$3*PickleballReady[[#This Row],[Column2]]),0),IF(Calculator!$A$3=4,ROUNDUP(SUM(VLOOKUP(PickleballReady[[#This Row],[Column1]],GALLON55READY[#All],6,FALSE)*$C$3*PickleballReady[[#This Row],[Column2]]),0))))),"")</f>
        <v/>
      </c>
      <c r="D12" s="82" t="str">
        <f>IFERROR(ROUNDUP(SUM(TennisConc[[#This Row],[Column3]]/IF(Calculator!$A$2=1,5,IF(Calculator!$A$2=2,30,IF(Calculator!$A$2=3,55,"")))),0),"")</f>
        <v/>
      </c>
      <c r="E12" s="61" t="str">
        <f>VLOOKUP(A12,GALLON55READY[],2,0)&amp;IF(Calculator!$A$2=1,"P",IF(Calculator!$A$2=2,"K",IF(Calculator!$A$2=3,"D","")))</f>
        <v>C1650D</v>
      </c>
    </row>
    <row r="13" spans="1:5" ht="30" customHeight="1" x14ac:dyDescent="0.25">
      <c r="A13" s="47" t="s">
        <v>50</v>
      </c>
      <c r="B13" s="70">
        <f>IF(OR(Calculator!$A$3=3,Calculator!$A$3=4,Calculator!$A$3=1),1,IF(Calculator!$A$3=2,2,""))</f>
        <v>2</v>
      </c>
      <c r="C13" s="71">
        <f>IF(Calculator!$A$3=1,ROUNDUP(SUM(VLOOKUP(TennisConc[[#This Row],[Column1]],GALLON55CONC[],3,FALSE)*$C$3*TennisConc[[#This Row],[Column2]]),0),IF(Calculator!$A$3=2,ROUNDUP(SUM(VLOOKUP(TennisConc[[#This Row],[Column1]],GALLON55CONC[],4,FALSE)*$C$3*TennisConc[[#This Row],[Column2]]),0),IF(Calculator!$A$3=3,ROUNDUP(SUM(VLOOKUP(TennisConc[[#This Row],[Column1]],GALLON55CONC[],5,FALSE)*$C$3*TennisConc[[#This Row],[Column2]]),0),IF(Calculator!$A$3=4,ROUNDUP(SUM(VLOOKUP(TennisConc[[#This Row],[Column1]],GALLON55CONC[],6,FALSE)*$C$3*TennisConc[[#This Row],[Column2]]),0)))))</f>
        <v>64</v>
      </c>
      <c r="D13" s="61">
        <f>ROUNDUP(SUM(TennisConc[[#This Row],[Column3]]/IF(Calculator!$A$2=1,5,IF(Calculator!$A$2=2,30,IF(Calculator!$A$2=3,55,"")))),0)</f>
        <v>2</v>
      </c>
      <c r="E13" s="39" t="str">
        <f>VLOOKUP(A13,GALLON55CONC[],2,0)&amp;IF(Calculator!$A$2=1,"P",IF(Calculator!$A$2=2,"K",IF(Calculator!$A$2=3,"D","")))</f>
        <v>C1300D</v>
      </c>
    </row>
    <row r="14" spans="1:5" ht="30" customHeight="1" x14ac:dyDescent="0.25">
      <c r="A14" s="47" t="s">
        <v>51</v>
      </c>
      <c r="B14" s="70"/>
      <c r="C14" s="61">
        <f>IF(Calculator!$A$2=1,(D13*70),IF(Calculator!$A$2=2,(D13*400),IF(Calculator!$A$2=3,(D13*750),"")))</f>
        <v>1500</v>
      </c>
      <c r="D14" s="61" t="str">
        <f>ROUNDUP(SUM(TennisConc[[#This Row],[Column3]]/50),0)&amp; " - 50 lbs. Bags"</f>
        <v>30 - 50 lbs. Bags</v>
      </c>
      <c r="E14" s="39" t="s">
        <v>52</v>
      </c>
    </row>
    <row r="15" spans="1:5" ht="30" customHeight="1" x14ac:dyDescent="0.25">
      <c r="A15" s="68" t="s">
        <v>413</v>
      </c>
      <c r="B15" s="69" t="s">
        <v>27</v>
      </c>
      <c r="C15" s="69" t="s">
        <v>49</v>
      </c>
      <c r="D15" s="67" t="s">
        <v>29</v>
      </c>
      <c r="E15" s="60" t="s">
        <v>30</v>
      </c>
    </row>
    <row r="16" spans="1:5" ht="30" customHeight="1" x14ac:dyDescent="0.25">
      <c r="A16" s="47" t="s">
        <v>53</v>
      </c>
      <c r="B16" s="70">
        <v>2</v>
      </c>
      <c r="C16" s="71">
        <f>IF(Calculator!$A$3=1,ROUNDUP(SUM(VLOOKUP(TennisConc[[#This Row],[Column1]],GALLON55CONC[],3,FALSE)*$C$5*TennisConc[[#This Row],[Column2]]),0),IF(Calculator!$A$3=2,ROUNDUP(SUM(VLOOKUP(TennisConc[[#This Row],[Column1]],GALLON55CONC[],4,FALSE)*$C$5*TennisConc[[#This Row],[Column2]]),0),IF(Calculator!$A$3=3,ROUNDUP(SUM(VLOOKUP(TennisConc[[#This Row],[Column1]],GALLON55CONC[],5,FALSE)*$C$5*TennisConc[[#This Row],[Column2]]),0),IF(Calculator!$A$3=4,ROUNDUP(SUM(VLOOKUP(TennisConc[[#This Row],[Column1]],GALLON55CONC[],6,FALSE)*$C$5*TennisConc[[#This Row],[Column2]]),0)))))</f>
        <v>0</v>
      </c>
      <c r="D16" s="61">
        <f>ROUNDUP(SUM(TennisConc[[#This Row],[Column3]]/IF(Calculator!$A$2=1,5,IF(Calculator!$A$2=2,30,IF(Calculator!$A$2=3,55,"")))),0)</f>
        <v>0</v>
      </c>
      <c r="E16" s="39" t="str">
        <f>VLOOKUP(A16,GALLON55CONC[],2,0)&amp;IF(Calculator!$A$2=1,"P",IF(Calculator!$A$2=2,"K",IF(Calculator!$A$2=3,"D","")))</f>
        <v>C1360D</v>
      </c>
    </row>
    <row r="17" spans="1:5" ht="30" customHeight="1" x14ac:dyDescent="0.25">
      <c r="A17" s="47" t="s">
        <v>54</v>
      </c>
      <c r="B17" s="70"/>
      <c r="C17" s="61">
        <f>IF(Calculator!$A$2=1,(D16*35),IF(Calculator!$A$2=2,(D16*200),IF(Calculator!$A$2=3,(D16*400),"")))</f>
        <v>0</v>
      </c>
      <c r="D17" s="61" t="str">
        <f>ROUNDUP(SUM(TennisConc[[#This Row],[Column3]]/50),0)&amp; " - 50 lbs. Bags"</f>
        <v>0 - 50 lbs. Bags</v>
      </c>
      <c r="E17" s="39" t="s">
        <v>55</v>
      </c>
    </row>
    <row r="18" spans="1:5" ht="30" customHeight="1" x14ac:dyDescent="0.25">
      <c r="A18" s="47" t="str">
        <f>Calculator!B22</f>
        <v>Light Blue ColorPlus</v>
      </c>
      <c r="B18" s="70"/>
      <c r="C18" s="71"/>
      <c r="D18" s="61" t="str">
        <f>IF(Calculator!$A$2=1,(D16*2),IF(Calculator!$A$2=2,(D16*2),IF(Calculator!$A$2=3,(D16*4),"")))&amp; IF(OR(Calculator!$A$2=2,Calculator!$A$2=3)," - 1 Gallon Pail(s)",IF(Calculator!$A$2=1," - 24 OZ Jar(s)"))</f>
        <v>0 - 1 Gallon Pail(s)</v>
      </c>
      <c r="E18" s="39" t="str">
        <f>IFERROR(IF(Calculator!$A$2=1,VLOOKUP(TennisConc[[#This Row],[Column1]],OZ_JARS[],2,0),IF(OR(Calculator!$A$2=2,Calculator!$A$2=3),VLOOKUP(TennisConc[[#This Row],[Column1]],'1 GALLON'!A2:G19,2,0),"")),"")</f>
        <v>C1385G</v>
      </c>
    </row>
    <row r="19" spans="1:5" ht="30" customHeight="1" x14ac:dyDescent="0.25">
      <c r="A19" s="68" t="s">
        <v>414</v>
      </c>
      <c r="B19" s="69" t="s">
        <v>27</v>
      </c>
      <c r="C19" s="69" t="s">
        <v>49</v>
      </c>
      <c r="D19" s="67" t="s">
        <v>29</v>
      </c>
      <c r="E19" s="60" t="s">
        <v>30</v>
      </c>
    </row>
    <row r="20" spans="1:5" ht="30" customHeight="1" x14ac:dyDescent="0.25">
      <c r="A20" s="47" t="s">
        <v>53</v>
      </c>
      <c r="B20" s="70">
        <v>2</v>
      </c>
      <c r="C20" s="71">
        <f>IF(Calculator!$A$3=1,ROUNDUP(SUM(VLOOKUP(TennisConc[[#This Row],[Column1]],GALLON55CONC[],3,FALSE)*$C$6*TennisConc[[#This Row],[Column2]]),0),IF(Calculator!$A$3=2,ROUNDUP(SUM(VLOOKUP(TennisConc[[#This Row],[Column1]],GALLON55CONC[],4,FALSE)*$C$6*TennisConc[[#This Row],[Column2]]),0),IF(Calculator!$A$3=3,ROUNDUP(SUM(VLOOKUP(TennisConc[[#This Row],[Column1]],GALLON55CONC[],5,FALSE)*$C$6*TennisConc[[#This Row],[Column2]]),0),IF(Calculator!$A$3=4,ROUNDUP(SUM(VLOOKUP(TennisConc[[#This Row],[Column1]],GALLON55CONC[],6,FALSE)*$C$6*TennisConc[[#This Row],[Column2]]),0)))))</f>
        <v>88</v>
      </c>
      <c r="D20" s="61">
        <f>ROUNDUP(SUM(TennisConc[[#This Row],[Column3]]/IF(Calculator!$A$2=1,5,IF(Calculator!$A$2=2,30,IF(Calculator!$A$2=3,55,"")))),0)</f>
        <v>2</v>
      </c>
      <c r="E20" s="39" t="str">
        <f>VLOOKUP(A20,GALLON55CONC[],2,0)&amp;IF(Calculator!$A$2=1,"P",IF(Calculator!$A$2=2,"K",IF(Calculator!$A$2=3,"D","")))</f>
        <v>C1360D</v>
      </c>
    </row>
    <row r="21" spans="1:5" ht="30" customHeight="1" x14ac:dyDescent="0.25">
      <c r="A21" s="47" t="s">
        <v>54</v>
      </c>
      <c r="B21" s="70"/>
      <c r="C21" s="61">
        <f>IF(Calculator!$A$2=1,(D20*33),IF(Calculator!$A$2=2,(D20*200),IF(Calculator!$A$2=3,(D20*400),"")))</f>
        <v>800</v>
      </c>
      <c r="D21" s="61" t="str">
        <f>ROUNDUP(SUM(TennisConc[[#This Row],[Column3]]/50),0)&amp; " - 50 lbs. Bags"</f>
        <v>16 - 50 lbs. Bags</v>
      </c>
      <c r="E21" s="39" t="s">
        <v>55</v>
      </c>
    </row>
    <row r="22" spans="1:5" ht="30" customHeight="1" x14ac:dyDescent="0.25">
      <c r="A22" s="47" t="str">
        <f>Calculator!B24</f>
        <v>Blue ColorPlus</v>
      </c>
      <c r="B22" s="70"/>
      <c r="C22" s="71"/>
      <c r="D22" s="61" t="str">
        <f>IF(Calculator!$A$2=1,(D20*2),IF(Calculator!$A$2=2,(D20*2),IF(Calculator!$A$2=3,(D20*4),"")))&amp; IF(OR(Calculator!$A$2=2,Calculator!$A$2=3)," - 1 Gallon Pail(s)",IF(Calculator!$A$2=1," - 24 OZ Jar(s)"))</f>
        <v>8 - 1 Gallon Pail(s)</v>
      </c>
      <c r="E22" s="39" t="str">
        <f>IFERROR(IF(Calculator!$A$2=1,VLOOKUP(TennisConc[[#This Row],[Column1]],OZ_JARS[],2,0),IF(OR(Calculator!$A$2=2,Calculator!$A$2=3),VLOOKUP(TennisConc[[#This Row],[Column1]],'1 GALLON'!A2:G19,2,0),"")),"")</f>
        <v>C1384G</v>
      </c>
    </row>
    <row r="23" spans="1:5" ht="30" customHeight="1" x14ac:dyDescent="0.25">
      <c r="A23" s="68" t="s">
        <v>38</v>
      </c>
      <c r="B23" s="69" t="s">
        <v>27</v>
      </c>
      <c r="C23" s="69" t="s">
        <v>49</v>
      </c>
      <c r="D23" s="67" t="s">
        <v>29</v>
      </c>
      <c r="E23" s="60" t="s">
        <v>30</v>
      </c>
    </row>
    <row r="24" spans="1:5" ht="30" customHeight="1" x14ac:dyDescent="0.25">
      <c r="A24" s="72" t="s">
        <v>39</v>
      </c>
      <c r="B24" s="70"/>
      <c r="C24" s="71"/>
      <c r="D24" s="61"/>
      <c r="E24" s="39"/>
    </row>
    <row r="25" spans="1:5" ht="30" customHeight="1" x14ac:dyDescent="0.25">
      <c r="A25" s="47" t="s">
        <v>40</v>
      </c>
      <c r="B25" s="70">
        <v>3</v>
      </c>
      <c r="C25" s="71">
        <f>IF(Calculator!$A$3=1,ROUNDUP(SUM(VLOOKUP(TennisConc[[#This Row],[Column1]],GALLON55CONC[],3,FALSE)*$C$3*TennisConc[[#This Row],[Column2]]),0),IF(Calculator!$A$3=2,ROUNDUP(SUM(VLOOKUP(TennisConc[[#This Row],[Column1]],GALLON55CONC[],4,FALSE)*$C$3*TennisConc[[#This Row],[Column2]]),0),IF(Calculator!$A$3=3,ROUNDUP(SUM(VLOOKUP(TennisConc[[#This Row],[Column1]],GALLON55CONC[],5,FALSE)*$C$3*TennisConc[[#This Row],[Column2]]),0),IF(Calculator!$A$3=4,ROUNDUP(SUM(VLOOKUP(TennisConc[[#This Row],[Column1]],GALLON55CONC[],6,FALSE)*$C$3*TennisConc[[#This Row],[Column2]]),0)))))</f>
        <v>160</v>
      </c>
      <c r="D25" s="61">
        <f>ROUNDUP(SUM(TennisConc[[#This Row],[Column3]]/IF(Calculator!$A$2=1,5,IF(Calculator!$A$2=2,30,IF(Calculator!$A$2=3,55,"")))),0)</f>
        <v>3</v>
      </c>
      <c r="E25" s="39" t="str">
        <f>VLOOKUP(A25,GALLON55CONC[],2,0)&amp;IF(Calculator!$A$2=1,"P",IF(Calculator!$A$2=2,"K",IF(Calculator!$A$2=3,"D","")))</f>
        <v>C1460D</v>
      </c>
    </row>
    <row r="26" spans="1:5" ht="30" customHeight="1" x14ac:dyDescent="0.25">
      <c r="A26" s="47" t="s">
        <v>41</v>
      </c>
      <c r="B26" s="70">
        <v>2</v>
      </c>
      <c r="C26" s="71">
        <f>IF(Calculator!$A$3=1,ROUNDUP(SUM(VLOOKUP(TennisConc[[#This Row],[Column1]],GALLON55CONC[],3,FALSE)*$C$3*TennisConc[[#This Row],[Column2]]),0),IF(Calculator!$A$3=2,ROUNDUP(SUM(VLOOKUP(TennisConc[[#This Row],[Column1]],GALLON55CONC[],4,FALSE)*$C$3*TennisConc[[#This Row],[Column2]]),0),IF(Calculator!$A$3=3,ROUNDUP(SUM(VLOOKUP(TennisConc[[#This Row],[Column1]],GALLON55CONC[],5,FALSE)*$C$3*TennisConc[[#This Row],[Column2]]),0),IF(Calculator!$A$3=4,ROUNDUP(SUM(VLOOKUP(TennisConc[[#This Row],[Column1]],GALLON55CONC[],6,FALSE)*$C$3*TennisConc[[#This Row],[Column2]]),0)))))</f>
        <v>72</v>
      </c>
      <c r="D26" s="61">
        <f>ROUNDUP(SUM(TennisConc[[#This Row],[Column3]]/IF(Calculator!$A$2=1,5,IF(Calculator!$A$2=2,30,IF(Calculator!$A$2=3,55,"")))),0)</f>
        <v>2</v>
      </c>
      <c r="E26" s="39" t="str">
        <f>VLOOKUP(A26,GALLON55CONC[],2,0)&amp;IF(Calculator!$A$2=1,"P",IF(Calculator!$A$2=2,"K",IF(Calculator!$A$2=3,"D","")))</f>
        <v>C1450D</v>
      </c>
    </row>
    <row r="27" spans="1:5" ht="30" customHeight="1" x14ac:dyDescent="0.25">
      <c r="A27" s="72" t="s">
        <v>42</v>
      </c>
      <c r="B27" s="39"/>
      <c r="C27" s="71"/>
      <c r="D27" s="61"/>
      <c r="E27" s="39"/>
    </row>
    <row r="28" spans="1:5" ht="30" customHeight="1" x14ac:dyDescent="0.25">
      <c r="A28" s="47" t="s">
        <v>40</v>
      </c>
      <c r="B28" s="70">
        <v>5</v>
      </c>
      <c r="C28" s="71">
        <f>IF(Calculator!$A$3=1,ROUNDUP(SUM(VLOOKUP(TennisConc[[#This Row],[Column1]],GALLON55CONC[],3,FALSE)*$C$3*TennisConc[[#This Row],[Column2]]),0),IF(Calculator!$A$3=2,ROUNDUP(SUM(VLOOKUP(TennisConc[[#This Row],[Column1]],GALLON55CONC[],4,FALSE)*$C$3*TennisConc[[#This Row],[Column2]]),0),IF(Calculator!$A$3=3,ROUNDUP(SUM(VLOOKUP(TennisConc[[#This Row],[Column1]],GALLON55CONC[],5,FALSE)*$C$3*TennisConc[[#This Row],[Column2]]),0),IF(Calculator!$A$3=4,ROUNDUP(SUM(VLOOKUP(TennisConc[[#This Row],[Column1]],GALLON55CONC[],6,FALSE)*$C$3*TennisConc[[#This Row],[Column2]]),0)))))</f>
        <v>267</v>
      </c>
      <c r="D28" s="61">
        <f>ROUNDUP(SUM(TennisConc[[#This Row],[Column3]]/IF(Calculator!$A$2=1,5,IF(Calculator!$A$2=2,30,IF(Calculator!$A$2=3,55,"")))),0)</f>
        <v>5</v>
      </c>
      <c r="E28" s="39" t="str">
        <f>VLOOKUP(A28,GALLON55CONC[],2,0)&amp;IF(Calculator!$A$2=1,"P",IF(Calculator!$A$2=2,"K",IF(Calculator!$A$2=3,"D","")))</f>
        <v>C1460D</v>
      </c>
    </row>
    <row r="29" spans="1:5" ht="30" customHeight="1" x14ac:dyDescent="0.25">
      <c r="A29" s="47" t="s">
        <v>41</v>
      </c>
      <c r="B29" s="70">
        <v>2</v>
      </c>
      <c r="C29" s="71">
        <f>IF(Calculator!$A$3=1,ROUNDUP(SUM(VLOOKUP(TennisConc[[#This Row],[Column1]],GALLON55CONC[],3,FALSE)*$C$3*TennisConc[[#This Row],[Column2]]),0),IF(Calculator!$A$3=2,ROUNDUP(SUM(VLOOKUP(TennisConc[[#This Row],[Column1]],GALLON55CONC[],4,FALSE)*$C$3*TennisConc[[#This Row],[Column2]]),0),IF(Calculator!$A$3=3,ROUNDUP(SUM(VLOOKUP(TennisConc[[#This Row],[Column1]],GALLON55CONC[],5,FALSE)*$C$3*TennisConc[[#This Row],[Column2]]),0),IF(Calculator!$A$3=4,ROUNDUP(SUM(VLOOKUP(TennisConc[[#This Row],[Column1]],GALLON55CONC[],6,FALSE)*$C$3*TennisConc[[#This Row],[Column2]]),0)))))</f>
        <v>72</v>
      </c>
      <c r="D29" s="61">
        <f>ROUNDUP(SUM(TennisConc[[#This Row],[Column3]]/IF(Calculator!$A$2=1,5,IF(Calculator!$A$2=2,30,IF(Calculator!$A$2=3,55,"")))),0)</f>
        <v>2</v>
      </c>
      <c r="E29" s="39" t="str">
        <f>VLOOKUP(A29,GALLON55CONC[],2,0)&amp;IF(Calculator!$A$2=1,"P",IF(Calculator!$A$2=2,"K",IF(Calculator!$A$2=3,"D","")))</f>
        <v>C1450D</v>
      </c>
    </row>
    <row r="30" spans="1:5" ht="30" customHeight="1" x14ac:dyDescent="0.25">
      <c r="A30" s="68" t="s">
        <v>43</v>
      </c>
      <c r="B30" s="69" t="s">
        <v>27</v>
      </c>
      <c r="C30" s="69" t="s">
        <v>28</v>
      </c>
      <c r="D30" s="39"/>
      <c r="E30" s="60" t="s">
        <v>30</v>
      </c>
    </row>
    <row r="31" spans="1:5" ht="30" customHeight="1" x14ac:dyDescent="0.25">
      <c r="A31" s="47" t="s">
        <v>44</v>
      </c>
      <c r="B31" s="70">
        <v>1</v>
      </c>
      <c r="C31" s="70">
        <f>ROUNDUP(SUM(1*B4),0)</f>
        <v>2</v>
      </c>
      <c r="D31" s="39">
        <f>TennisConc[[#This Row],[Column3]]</f>
        <v>2</v>
      </c>
      <c r="E31" s="39" t="str">
        <f>VLOOKUP(A31,GALLON55CONC[],2,0)</f>
        <v>C1610G</v>
      </c>
    </row>
    <row r="32" spans="1:5" ht="30" customHeight="1" x14ac:dyDescent="0.25">
      <c r="A32" s="47" t="s">
        <v>45</v>
      </c>
      <c r="B32" s="70">
        <v>1</v>
      </c>
      <c r="C32" s="70">
        <f>ROUNDUP(SUM(1*B4),0)</f>
        <v>2</v>
      </c>
      <c r="D32" s="39">
        <f>TennisConc[[#This Row],[Column3]]</f>
        <v>2</v>
      </c>
      <c r="E32" s="39" t="str">
        <f>VLOOKUP(A32,GALLON55CONC[],2,0)</f>
        <v>C1620G</v>
      </c>
    </row>
    <row r="33" spans="1:5" ht="30" customHeight="1" x14ac:dyDescent="0.25">
      <c r="A33" s="68" t="s">
        <v>46</v>
      </c>
      <c r="B33" s="69" t="s">
        <v>47</v>
      </c>
      <c r="C33" s="39"/>
      <c r="D33" s="39"/>
      <c r="E33" s="39"/>
    </row>
    <row r="34" spans="1:5" x14ac:dyDescent="0.25">
      <c r="A34" s="47" t="s">
        <v>48</v>
      </c>
      <c r="B34" s="73">
        <f>ROUNDUP(SUM(8*B4),0)</f>
        <v>16</v>
      </c>
      <c r="C34" s="39"/>
      <c r="D34" s="39"/>
      <c r="E34" s="39"/>
    </row>
  </sheetData>
  <sheetProtection algorithmName="SHA-512" hashValue="TTwY7br83zhc8xYjvDSoUSXXz8KpPgdaXyFvPBOcuJtT/lsswhuFztSH0vjVOYi9QkUoDQUZ4zyp/Qbu2lH+Qw==" saltValue="/p59pBh1YUSI96OOdfaEuQ==" spinCount="100000" sheet="1" formatCells="0" formatColumns="0" formatRows="0" insertColumns="0" insertRows="0" insertHyperlinks="0" deleteColumns="0" deleteRows="0" sort="0" autoFilter="0" pivotTables="0"/>
  <mergeCells count="1">
    <mergeCell ref="A1:C1"/>
  </mergeCells>
  <phoneticPr fontId="9" type="noConversion"/>
  <conditionalFormatting sqref="B3">
    <cfRule type="cellIs" dxfId="88" priority="1" operator="equal">
      <formula>0</formula>
    </cfRule>
  </conditionalFormatting>
  <dataValidations disablePrompts="1" count="1">
    <dataValidation type="list" allowBlank="1" showInputMessage="1" showErrorMessage="1" sqref="A1:C1 C3" xr:uid="{83E68293-4A15-46D0-BB5C-BBFD640A8861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4F1E4-F71E-4B6C-A18E-5B7CCA88E06E}">
  <sheetPr codeName="Sheet14"/>
  <dimension ref="A1:E46"/>
  <sheetViews>
    <sheetView tabSelected="1" zoomScale="70" zoomScaleNormal="70" workbookViewId="0">
      <selection activeCell="D25" sqref="D25"/>
    </sheetView>
  </sheetViews>
  <sheetFormatPr defaultRowHeight="15" x14ac:dyDescent="0.25"/>
  <cols>
    <col min="1" max="1" width="45.28515625" bestFit="1" customWidth="1"/>
    <col min="2" max="2" width="27.7109375" bestFit="1" customWidth="1"/>
    <col min="3" max="3" width="28.85546875" customWidth="1"/>
    <col min="4" max="4" width="30.140625" bestFit="1" customWidth="1"/>
    <col min="5" max="5" width="30.140625" customWidth="1"/>
  </cols>
  <sheetData>
    <row r="1" spans="1:5" ht="30" customHeight="1" thickBot="1" x14ac:dyDescent="0.3">
      <c r="A1" s="41"/>
      <c r="B1" s="42"/>
      <c r="C1" s="43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56</v>
      </c>
    </row>
    <row r="3" spans="1:5" ht="24.95" customHeight="1" thickBot="1" x14ac:dyDescent="0.3">
      <c r="A3" s="46" t="s">
        <v>8</v>
      </c>
      <c r="B3" s="57">
        <f>IF(Calculator!$A$5=1,SUM(Calculator!C5*Calculator!C6),IF(Calculator!$A$5=2,Calculator!C5,IF(Calculator!$A$5=3,SUM(Calculator!C5*9),IF(Calculator!$A$5=4,SUM(Calculator!C5*10.7639),""))))</f>
        <v>3200</v>
      </c>
      <c r="C3" s="56">
        <f>SUM(PickleballReady[[#This Row],[Column2]]/9)</f>
        <v>355.55555555555554</v>
      </c>
      <c r="D3" s="40"/>
      <c r="E3" s="40"/>
    </row>
    <row r="4" spans="1:5" ht="24.95" customHeight="1" thickBot="1" x14ac:dyDescent="0.3">
      <c r="A4" s="46" t="s">
        <v>9</v>
      </c>
      <c r="B4" s="45">
        <f>Calculator!B9</f>
        <v>2</v>
      </c>
      <c r="C4" s="44"/>
      <c r="D4" s="40"/>
      <c r="E4" s="40"/>
    </row>
    <row r="5" spans="1:5" ht="24.95" customHeight="1" thickBot="1" x14ac:dyDescent="0.3">
      <c r="A5" s="47" t="s">
        <v>57</v>
      </c>
      <c r="B5" s="52">
        <f>SUM(600*B4)</f>
        <v>1200</v>
      </c>
      <c r="C5" s="54">
        <f>SUM(PickleballReady[[#This Row],[Column2]]/9)</f>
        <v>133.33333333333334</v>
      </c>
      <c r="D5" s="40"/>
      <c r="E5" s="40"/>
    </row>
    <row r="6" spans="1:5" ht="24.95" customHeight="1" x14ac:dyDescent="0.25">
      <c r="A6" s="51" t="s">
        <v>58</v>
      </c>
      <c r="B6" s="53">
        <f>280*B4</f>
        <v>560</v>
      </c>
      <c r="C6" s="55">
        <f>SUM(PickleballReady[[#This Row],[Column2]]/9)</f>
        <v>62.222222222222221</v>
      </c>
      <c r="D6" s="40"/>
      <c r="E6" s="40"/>
    </row>
    <row r="7" spans="1:5" ht="24.95" customHeight="1" thickBot="1" x14ac:dyDescent="0.3">
      <c r="A7" s="68" t="s">
        <v>12</v>
      </c>
      <c r="B7" s="69" t="s">
        <v>13</v>
      </c>
      <c r="C7" s="80" t="s">
        <v>14</v>
      </c>
      <c r="D7" s="60" t="s">
        <v>15</v>
      </c>
      <c r="E7" s="40"/>
    </row>
    <row r="8" spans="1:5" ht="24.95" customHeight="1" thickBot="1" x14ac:dyDescent="0.3">
      <c r="A8" s="46" t="s">
        <v>16</v>
      </c>
      <c r="B8" s="79" t="s">
        <v>17</v>
      </c>
      <c r="C8" s="54" t="s">
        <v>18</v>
      </c>
      <c r="D8" s="39" t="s">
        <v>19</v>
      </c>
      <c r="E8" s="40"/>
    </row>
    <row r="9" spans="1:5" ht="24.95" customHeight="1" thickBot="1" x14ac:dyDescent="0.3">
      <c r="A9" s="46" t="s">
        <v>20</v>
      </c>
      <c r="B9" s="79" t="s">
        <v>17</v>
      </c>
      <c r="C9" s="54" t="s">
        <v>21</v>
      </c>
      <c r="D9" s="39" t="s">
        <v>22</v>
      </c>
      <c r="E9" s="40"/>
    </row>
    <row r="10" spans="1:5" ht="24.95" customHeight="1" thickBot="1" x14ac:dyDescent="0.3">
      <c r="A10" s="46" t="s">
        <v>23</v>
      </c>
      <c r="B10" s="79" t="s">
        <v>24</v>
      </c>
      <c r="C10" s="54" t="s">
        <v>21</v>
      </c>
      <c r="D10" s="39" t="s">
        <v>25</v>
      </c>
      <c r="E10" s="40"/>
    </row>
    <row r="11" spans="1:5" ht="24.95" customHeight="1" thickBot="1" x14ac:dyDescent="0.3">
      <c r="A11" s="68" t="s">
        <v>26</v>
      </c>
      <c r="B11" s="69" t="s">
        <v>27</v>
      </c>
      <c r="C11" s="69" t="s">
        <v>28</v>
      </c>
      <c r="D11" s="67" t="s">
        <v>29</v>
      </c>
      <c r="E11" s="60" t="s">
        <v>30</v>
      </c>
    </row>
    <row r="12" spans="1:5" ht="24.95" customHeight="1" thickBot="1" x14ac:dyDescent="0.3">
      <c r="A12" s="46" t="s">
        <v>31</v>
      </c>
      <c r="B12" s="70" t="str">
        <f>IF(OR(Calculator!$A$3=1,Calculator!$A$3=3),1,IF(OR(Calculator!$A$3=2,Calculator!$A$3=4),""))</f>
        <v/>
      </c>
      <c r="C12" s="71" t="str">
        <f>IFERROR(IF(Calculator!$A$3=1,ROUNDUP(SUM(VLOOKUP(PickleballReady[[#This Row],[Column1]],GALLON55READY[#All],3,FALSE)*$C$3*PickleballReady[[#This Row],[Column2]]),0),IF(Calculator!$A$3=2,ROUNDUP(SUM(VLOOKUP(PickleballReady[[#This Row],[Column1]],GALLON55READY[#All],4,FALSE)*$C$3*PickleballReady[[#This Row],[Column2]])*TennisReady[[#This Row],[Column2]],0),IF(Calculator!$A$3=3,ROUNDUP(SUM(VLOOKUP(PickleballReady[[#This Row],[Column1]],GALLON55READY[#All],5,FALSE)*$C$3*PickleballReady[[#This Row],[Column2]]),0),IF(Calculator!$A$3=4,ROUNDUP(SUM(VLOOKUP(PickleballReady[[#This Row],[Column1]],GALLON55READY[#All],6,FALSE)*$C$3*PickleballReady[[#This Row],[Column2]]),0))))),"")</f>
        <v/>
      </c>
      <c r="D12" s="82" t="str">
        <f>IFERROR(ROUNDUP(SUM(PickleballReady[[#This Row],[Column3]]/IF(Calculator!$A$2=1,5,IF(Calculator!$A$2=2,30,IF(Calculator!$A$2=3,55,"")))),0),"")</f>
        <v/>
      </c>
      <c r="E12" s="61" t="str">
        <f>VLOOKUP(A12,GALLON55READY[],2,0)&amp;IF(Calculator!$A$2=1,"P",IF(Calculator!$A$2=2,"K",IF(Calculator!$A$2=3,"D","")))</f>
        <v>C1650D</v>
      </c>
    </row>
    <row r="13" spans="1:5" ht="24.95" customHeight="1" x14ac:dyDescent="0.25">
      <c r="A13" s="47" t="s">
        <v>32</v>
      </c>
      <c r="B13" s="70">
        <f>IF(OR(Calculator!$A$3=3,Calculator!$A$3=4,Calculator!$A$3=1),1,IF(Calculator!$A$3=2,2,""))</f>
        <v>2</v>
      </c>
      <c r="C13" s="71">
        <f>IF(Calculator!$A$3=1,ROUNDUP(SUM(VLOOKUP(A13,GALLON55READY[#All],3,FALSE)*$C$3*PickleballReady[[#This Row],[Column2]]),0),IF(Calculator!$A$3=2,ROUNDUP(SUM(VLOOKUP(A13,GALLON55READY[#All],4,FALSE)*$C$3*PickleballReady[[#This Row],[Column2]]),0),IF(Calculator!$A$3=3,ROUNDUP(SUM(VLOOKUP(A13,GALLON55READY[#All],5,FALSE)*$C$3*PickleballReady[[#This Row],[Column2]]),0),IF(Calculator!$A$3=4,ROUNDUP(SUM(VLOOKUP(A13,GALLON55READY[#All],6,FALSE)*$C$3*PickleballReady[[#This Row],[Column2]]),0)))))</f>
        <v>93</v>
      </c>
      <c r="D13" s="61">
        <f>ROUNDUP(SUM(PickleballReady[[#This Row],[Column3]]/IF(Calculator!$A$2=1,5,IF(Calculator!$A$2=2,30,IF(Calculator!$A$2=3,55,"")))),0)</f>
        <v>2</v>
      </c>
      <c r="E13" s="61" t="str">
        <f>VLOOKUP(A13,GALLON55READY[],2,0)&amp;IF(Calculator!$A$2=1,"P",IF(Calculator!$A$2=2,"K",IF(Calculator!$A$2=3,"D","")))</f>
        <v>C1330D</v>
      </c>
    </row>
    <row r="14" spans="1:5" ht="24.95" customHeight="1" x14ac:dyDescent="0.25">
      <c r="A14" s="68" t="s">
        <v>59</v>
      </c>
      <c r="B14" s="69" t="s">
        <v>27</v>
      </c>
      <c r="C14" s="69" t="s">
        <v>28</v>
      </c>
      <c r="D14" s="67" t="s">
        <v>29</v>
      </c>
      <c r="E14" s="60" t="s">
        <v>30</v>
      </c>
    </row>
    <row r="15" spans="1:5" ht="24.95" customHeight="1" x14ac:dyDescent="0.25">
      <c r="A15" s="47" t="s">
        <v>34</v>
      </c>
      <c r="B15" s="70">
        <v>2</v>
      </c>
      <c r="C15" s="71">
        <f>IF(Calculator!$A$3=1,ROUNDUP(SUM(VLOOKUP(A15,GALLON55READY[#All],3,FALSE)*$C$3*PickleballReady[[#This Row],[Column2]]),0),IF(Calculator!$A$3=2,ROUNDUP(SUM(VLOOKUP(A15,GALLON55READY[#All],4,FALSE)*$C$3*PickleballReady[[#This Row],[Column2]]),0),IF(Calculator!$A$3=3,ROUNDUP(SUM(VLOOKUP(A15,GALLON55READY[#All],5,FALSE)*$C$3*PickleballReady[[#This Row],[Column2]]),0),IF(Calculator!$A$3=4,ROUNDUP(SUM(VLOOKUP(A15,GALLON55READY[#All],6,FALSE)*$C$3*PickleballReady[[#This Row],[Column2]]),0)))))</f>
        <v>64</v>
      </c>
      <c r="D15" s="61">
        <f>ROUNDUP(SUM(PickleballReady[[#This Row],[Column3]]/IF(Calculator!$A$2=1,5,IF(Calculator!$A$2=2,30,IF(Calculator!$A$2=3,55,"")))),0)</f>
        <v>2</v>
      </c>
      <c r="E15" s="61" t="str">
        <f>VLOOKUP(A15,GALLON55READY[],2,0)&amp;IF(Calculator!$A$2=1,"P",IF(Calculator!$A$2=2,"K",IF(Calculator!$A$2=3,"D","")))</f>
        <v>C1365D</v>
      </c>
    </row>
    <row r="16" spans="1:5" ht="24.95" customHeight="1" x14ac:dyDescent="0.25">
      <c r="A16" s="47" t="str">
        <f>Calculator!$B$22</f>
        <v>Light Blue ColorPlus</v>
      </c>
      <c r="B16" s="70"/>
      <c r="C16" s="71"/>
      <c r="D16" s="61" t="str">
        <f>IF(Calculator!$A$2=1,(D15*2),IF(Calculator!$A$2=2,(D15*2),IF(Calculator!$A$2=3,(D15*4),"")))&amp; IF(OR(Calculator!$A$2=2,Calculator!$A$2=3)," - 1 Gallon Pail(s)",IF(Calculator!$A$2=1," - 24 OZ Jar(s)"))</f>
        <v>8 - 1 Gallon Pail(s)</v>
      </c>
      <c r="E16" s="61" t="str">
        <f>IFERROR(IF(Calculator!$A$2=1,VLOOKUP(PickleballReady[[#This Row],[Column1]],OZ_JARS[],2,0),IF(OR(Calculator!$A$2=2,Calculator!$A$2=3),VLOOKUP(PickleballReady[[#This Row],[Column1]],'1 GALLON'!A2:G19,2,0),"")),"")</f>
        <v>C1385G</v>
      </c>
    </row>
    <row r="17" spans="1:5" ht="24.95" customHeight="1" x14ac:dyDescent="0.25">
      <c r="A17" s="47" t="s">
        <v>60</v>
      </c>
      <c r="B17" s="70">
        <v>2</v>
      </c>
      <c r="C17" s="71">
        <f>IF(Calculator!$A$3=1,ROUNDUP(SUM(VLOOKUP(A17,GALLON55READY[#All],3,FALSE)*$C$3*PickleballReady[[#This Row],[Column2]]),0),IF(Calculator!$A$3=2,ROUNDUP(SUM(VLOOKUP(A17,GALLON55READY[#All],4,FALSE)*$C$3*PickleballReady[[#This Row],[Column2]]),0),IF(Calculator!$A$3=3,ROUNDUP(SUM(VLOOKUP(A17,GALLON55READY[#All],5,FALSE)*$C$3*PickleballReady[[#This Row],[Column2]]),0),IF(Calculator!$A$3=4,ROUNDUP(SUM(VLOOKUP(A17,GALLON55READY[#All],6,FALSE)*$C$3*PickleballReady[[#This Row],[Column2]]),0)))))</f>
        <v>64</v>
      </c>
      <c r="D17" s="61">
        <f>ROUNDUP(SUM(PickleballReady[[#This Row],[Column3]]/IF(Calculator!$A$2=1,5,IF(Calculator!$A$2=2,30,IF(Calculator!$A$2=3,55,"")))),0)</f>
        <v>2</v>
      </c>
      <c r="E17" s="61" t="str">
        <f>VLOOKUP(A17,GALLON55READY[],2,0)&amp;IF(Calculator!$A$2=1,"P",IF(Calculator!$A$2=2,"K",IF(Calculator!$A$2=3,"D","")))</f>
        <v>C1298D</v>
      </c>
    </row>
    <row r="18" spans="1:5" ht="24.95" customHeight="1" x14ac:dyDescent="0.25">
      <c r="A18" s="47" t="str">
        <f>Calculator!$B$22</f>
        <v>Light Blue ColorPlus</v>
      </c>
      <c r="B18" s="70"/>
      <c r="C18" s="71"/>
      <c r="D18" s="61" t="str">
        <f>IF(Calculator!$A$2=1,(D17*1),IF(Calculator!$A$2=2,(D17*2),IF(Calculator!$A$2=3,(D17*4),"")))&amp; IF(OR(Calculator!$A$2=2,Calculator!$A$2=3)," - 1 Gallon Pail(s)",IF(Calculator!$A$2=1," - 24 OZ Jar(s)"))</f>
        <v>8 - 1 Gallon Pail(s)</v>
      </c>
      <c r="E18" s="61" t="str">
        <f>IFERROR(IF(Calculator!$A$2=1,VLOOKUP(PickleballReady[[#This Row],[Column1]],OZ_JARS[],2,0),IF(OR(Calculator!$A$2=2,Calculator!$A$2=3),VLOOKUP(PickleballReady[[#This Row],[Column1]],'1 GALLON'!A2:G19,2,0),"")),"")</f>
        <v>C1385G</v>
      </c>
    </row>
    <row r="19" spans="1:5" ht="24.95" customHeight="1" x14ac:dyDescent="0.25">
      <c r="A19" s="47" t="s">
        <v>61</v>
      </c>
      <c r="B19" s="70">
        <v>2</v>
      </c>
      <c r="C19" s="71">
        <f>IF(Calculator!$A$3=1,ROUNDUP(SUM(VLOOKUP(A19,GALLON55READY[#All],3,FALSE)*$C$3*PickleballReady[[#This Row],[Column2]]),0),IF(Calculator!$A$3=2,ROUNDUP(SUM(VLOOKUP(A19,GALLON55READY[#All],4,FALSE)*$C$3*PickleballReady[[#This Row],[Column2]]),0),IF(Calculator!$A$3=3,ROUNDUP(SUM(VLOOKUP(A19,GALLON55READY[#All],5,FALSE)*$C$3*PickleballReady[[#This Row],[Column2]]),0),IF(Calculator!$A$3=4,ROUNDUP(SUM(VLOOKUP(A19,GALLON55READY[#All],6,FALSE)*$C$3*PickleballReady[[#This Row],[Column2]]),0)))))</f>
        <v>79</v>
      </c>
      <c r="D19" s="61">
        <f>ROUNDUP(SUM(PickleballReady[[#This Row],[Column3]]/5),0)</f>
        <v>16</v>
      </c>
      <c r="E19" s="61" t="str">
        <f>VLOOKUP(A19,GALLON55READY[],2,0)</f>
        <v>C1299P</v>
      </c>
    </row>
    <row r="20" spans="1:5" ht="24.95" customHeight="1" x14ac:dyDescent="0.25">
      <c r="A20" s="47" t="str">
        <f>Calculator!$B$22</f>
        <v>Light Blue ColorPlus</v>
      </c>
      <c r="B20" s="70"/>
      <c r="C20" s="71"/>
      <c r="D20" s="61" t="str">
        <f>SUM(D19*1)&amp; IF(OR(A19="Ready-Mix Color",A19="PickleMaster RTU")," - 24 OZ Jar(s)","")</f>
        <v>16 - 24 OZ Jar(s)</v>
      </c>
      <c r="E20" s="39" t="str">
        <f>IFERROR(IF(OR(A19="Ready-Mix Color",A19="PickleMaster RTU"),VLOOKUP(PickleballReady[[#This Row],[Column1]],OZ_JARS[],2,0)),"")</f>
        <v>C1385J</v>
      </c>
    </row>
    <row r="21" spans="1:5" ht="32.25" customHeight="1" x14ac:dyDescent="0.25">
      <c r="A21" s="68" t="s">
        <v>62</v>
      </c>
      <c r="B21" s="69" t="s">
        <v>27</v>
      </c>
      <c r="C21" s="69" t="s">
        <v>28</v>
      </c>
      <c r="D21" s="67" t="s">
        <v>29</v>
      </c>
      <c r="E21" s="60" t="s">
        <v>30</v>
      </c>
    </row>
    <row r="22" spans="1:5" ht="24.95" customHeight="1" x14ac:dyDescent="0.25">
      <c r="A22" s="47" t="s">
        <v>34</v>
      </c>
      <c r="B22" s="70">
        <v>2</v>
      </c>
      <c r="C22" s="71">
        <f>IF(Calculator!$A$3=1,ROUNDUP(SUM(VLOOKUP(A22,GALLON55READY[#All],3,FALSE)*$C$5*PickleballReady[[#This Row],[Column2]]),0),IF(Calculator!$A$3=2,ROUNDUP(SUM(VLOOKUP(A22,GALLON55READY[#All],4,FALSE)*$C$5*PickleballReady[[#This Row],[Column2]]),0),IF(Calculator!$A$3=3,ROUNDUP(SUM(VLOOKUP(A22,GALLON55READY[#All],5,FALSE)*$C$5*PickleballReady[[#This Row],[Column2]]),0),IF(Calculator!$A$3=4,ROUNDUP(SUM(VLOOKUP(A22,GALLON55READY[#All],6,FALSE)*$C$5*PickleballReady[[#This Row],[Column2]]),0)))))</f>
        <v>24</v>
      </c>
      <c r="D22" s="61">
        <f>ROUNDUP(SUM(PickleballReady[[#This Row],[Column3]]/IF(Calculator!$A$2=1,5,IF(Calculator!$A$2=2,30,IF(Calculator!$A$2=3,55,"")))),0)</f>
        <v>1</v>
      </c>
      <c r="E22" s="61" t="str">
        <f>VLOOKUP(A22,GALLON55READY[],2,0)&amp;IF(Calculator!$A$2=1,"P",IF(Calculator!$A$2=2,"K",IF(Calculator!$A$2=3,"D","")))</f>
        <v>C1365D</v>
      </c>
    </row>
    <row r="23" spans="1:5" ht="24.95" customHeight="1" x14ac:dyDescent="0.25">
      <c r="A23" s="47" t="str">
        <f>Calculator!$B$24</f>
        <v>Blue ColorPlus</v>
      </c>
      <c r="B23" s="70"/>
      <c r="C23" s="71"/>
      <c r="D23" s="61" t="str">
        <f>IF(Calculator!$A$2=1,(D22*2),IF(Calculator!$A$2=2,(D22*2),IF(Calculator!$A$2=3,(D22*4),"")))&amp; IF(OR(Calculator!$A$2=2,Calculator!$A$2=3)," - 1 Gallon Pail(s)",IF(Calculator!$A$2=1," - 24 OZ Jar(s)"))</f>
        <v>4 - 1 Gallon Pail(s)</v>
      </c>
      <c r="E23" s="61" t="str">
        <f>IFERROR(IF(Calculator!$A$2=1,VLOOKUP(PickleballReady[[#This Row],[Column1]],OZ_JARS[],2,0),IF(OR(Calculator!$A$2=2,Calculator!$A$2=3),VLOOKUP(PickleballReady[[#This Row],[Column1]],'1 GALLON'!A2:G19,2,0),"")),"")</f>
        <v>C1384G</v>
      </c>
    </row>
    <row r="24" spans="1:5" ht="24.95" customHeight="1" x14ac:dyDescent="0.25">
      <c r="A24" s="47" t="s">
        <v>60</v>
      </c>
      <c r="B24" s="70">
        <v>2</v>
      </c>
      <c r="C24" s="71">
        <f>IF(Calculator!$A$3=1,ROUNDUP(SUM(VLOOKUP(A24,GALLON55READY[#All],3,FALSE)*$C$5*PickleballReady[[#This Row],[Column2]]),0),IF(Calculator!$A$3=2,ROUNDUP(SUM(VLOOKUP(A24,GALLON55READY[#All],4,FALSE)*$C$5*PickleballReady[[#This Row],[Column2]]),0),IF(Calculator!$A$3=3,ROUNDUP(SUM(VLOOKUP(A24,GALLON55READY[#All],5,FALSE)*$C$5*PickleballReady[[#This Row],[Column2]]),0),IF(Calculator!$A$3=4,ROUNDUP(SUM(VLOOKUP(A24,GALLON55READY[#All],6,FALSE)*$C$5*PickleballReady[[#This Row],[Column2]]),0)))))</f>
        <v>24</v>
      </c>
      <c r="D24" s="61">
        <f>ROUNDUP(SUM(PickleballReady[[#This Row],[Column3]]/IF(Calculator!$A$2=1,5,IF(Calculator!$A$2=2,30,IF(Calculator!$A$2=3,55,"")))),0)</f>
        <v>1</v>
      </c>
      <c r="E24" s="61" t="str">
        <f>VLOOKUP(A24,GALLON55READY[],2,0)&amp;IF(Calculator!$A$2=1,"P",IF(Calculator!$A$2=2,"K",IF(Calculator!$A$2=3,"D","")))</f>
        <v>C1298D</v>
      </c>
    </row>
    <row r="25" spans="1:5" ht="24.95" customHeight="1" x14ac:dyDescent="0.25">
      <c r="A25" s="47" t="str">
        <f>Calculator!$B$24</f>
        <v>Blue ColorPlus</v>
      </c>
      <c r="B25" s="70"/>
      <c r="C25" s="71"/>
      <c r="D25" s="61" t="str">
        <f>IF(Calculator!$A$2=1,(D24*1),IF(Calculator!$A$2=2,(D24*2),IF(Calculator!$A$2=3,(D24*4),"")))&amp; IF(OR(Calculator!$A$2=2,Calculator!$A$2=3)," - 1 Gallon Pail(s)",IF(Calculator!$A$2=1," - 24 OZ Jar(s)"))</f>
        <v>4 - 1 Gallon Pail(s)</v>
      </c>
      <c r="E25" s="61" t="str">
        <f>IFERROR(IF(Calculator!$A$2=1,VLOOKUP(PickleballReady[[#This Row],[Column1]],OZ_JARS[],2,0),IF(OR(Calculator!$A$2=2,Calculator!$A$2=3),VLOOKUP(PickleballReady[[#This Row],[Column1]],'1 GALLON'!A2:G19,2,0),"")),"")</f>
        <v>C1384G</v>
      </c>
    </row>
    <row r="26" spans="1:5" ht="24.95" customHeight="1" x14ac:dyDescent="0.25">
      <c r="A26" s="47" t="s">
        <v>61</v>
      </c>
      <c r="B26" s="70">
        <v>2</v>
      </c>
      <c r="C26" s="71">
        <f>IF(Calculator!$A$3=1,ROUNDUP(SUM(VLOOKUP(A26,GALLON55READY[#All],3,FALSE)*$C$5*PickleballReady[[#This Row],[Column2]]),0),IF(Calculator!$A$3=2,ROUNDUP(SUM(VLOOKUP(A26,GALLON55READY[#All],4,FALSE)*$C$5*PickleballReady[[#This Row],[Column2]]),0),IF(Calculator!$A$3=3,ROUNDUP(SUM(VLOOKUP(A26,GALLON55READY[#All],5,FALSE)*$C$5*PickleballReady[[#This Row],[Column2]]),0),IF(Calculator!$A$3=4,ROUNDUP(SUM(VLOOKUP(A26,GALLON55READY[#All],6,FALSE)*$C$5*PickleballReady[[#This Row],[Column2]]),0)))))</f>
        <v>30</v>
      </c>
      <c r="D26" s="61">
        <f>ROUNDUP(SUM(PickleballReady[[#This Row],[Column3]]/5),0)</f>
        <v>6</v>
      </c>
      <c r="E26" s="61" t="str">
        <f>VLOOKUP(A26,GALLON55READY[],2,0)</f>
        <v>C1299P</v>
      </c>
    </row>
    <row r="27" spans="1:5" ht="24.95" customHeight="1" x14ac:dyDescent="0.25">
      <c r="A27" s="47" t="str">
        <f>Calculator!$B$24</f>
        <v>Blue ColorPlus</v>
      </c>
      <c r="B27" s="70"/>
      <c r="C27" s="71"/>
      <c r="D27" s="61" t="str">
        <f>SUM(D26*1)&amp; IF(OR(A26="Ready-Mix Color",A26="PickleMaster RTU")," - 24 OZ Jar(s)","")</f>
        <v>6 - 24 OZ Jar(s)</v>
      </c>
      <c r="E27" s="39" t="str">
        <f>IFERROR(IF(OR(A26="Ready-Mix Color",A26="PickleMaster RTU"),VLOOKUP(PickleballReady[[#This Row],[Column1]],OZ_JARS[],2,0)),"")</f>
        <v>C1384J</v>
      </c>
    </row>
    <row r="28" spans="1:5" ht="24.75" customHeight="1" x14ac:dyDescent="0.25">
      <c r="A28" s="68" t="s">
        <v>63</v>
      </c>
      <c r="B28" s="69" t="s">
        <v>27</v>
      </c>
      <c r="C28" s="69" t="s">
        <v>28</v>
      </c>
      <c r="D28" s="67" t="s">
        <v>29</v>
      </c>
      <c r="E28" s="60" t="s">
        <v>30</v>
      </c>
    </row>
    <row r="29" spans="1:5" ht="24.95" customHeight="1" x14ac:dyDescent="0.25">
      <c r="A29" s="47" t="s">
        <v>34</v>
      </c>
      <c r="B29" s="70">
        <v>2</v>
      </c>
      <c r="C29" s="71">
        <f>IF(Calculator!$A$3=1,ROUNDUP(SUM(VLOOKUP(A29,GALLON55READY[#All],3,FALSE)*$C$6*PickleballReady[[#This Row],[Column2]]),0),IF(Calculator!$A$3=2,ROUNDUP(SUM(VLOOKUP(A29,GALLON55READY[#All],4,FALSE)*$C$6*PickleballReady[[#This Row],[Column2]]),0),IF(Calculator!$A$3=3,ROUNDUP(SUM(VLOOKUP(A29,GALLON55READY[#All],5,FALSE)*$C$6*PickleballReady[[#This Row],[Column2]]),0),IF(Calculator!$A$3=4,ROUNDUP(SUM(VLOOKUP(A29,GALLON55READY[#All],6,FALSE)*$C$6*PickleballReady[[#This Row],[Column2]]),0)))))</f>
        <v>12</v>
      </c>
      <c r="D29" s="61">
        <f>ROUNDUP(SUM(PickleballReady[[#This Row],[Column3]]/IF(Calculator!$A$2=1,5,IF(Calculator!$A$2=2,30,IF(Calculator!$A$2=3,55,"")))),0)</f>
        <v>1</v>
      </c>
      <c r="E29" s="61" t="str">
        <f>VLOOKUP(A29,GALLON55READY[],2,0)&amp;IF(Calculator!$A$2=1,"P",IF(Calculator!$A$2=2,"K",IF(Calculator!$A$2=3,"D","")))</f>
        <v>C1365D</v>
      </c>
    </row>
    <row r="30" spans="1:5" ht="24.95" customHeight="1" x14ac:dyDescent="0.25">
      <c r="A30" s="47" t="str">
        <f>Calculator!$B$26</f>
        <v>Blue ColorPlus</v>
      </c>
      <c r="B30" s="70"/>
      <c r="C30" s="71"/>
      <c r="D30" s="61" t="str">
        <f>IF(Calculator!$A$2=1,(D29*2),IF(Calculator!$A$2=2,(D29*2),IF(Calculator!$A$2=3,(D29*4),"")))&amp; IF(OR(Calculator!$A$2=2,Calculator!$A$2=3)," - 1 Gallon Pail(s)",IF(Calculator!$A$2=1," - 24 OZ Jar(s)"))</f>
        <v>4 - 1 Gallon Pail(s)</v>
      </c>
      <c r="E30" s="61" t="str">
        <f>IFERROR(IF(Calculator!$A$2=1,VLOOKUP(PickleballReady[[#This Row],[Column1]],OZ_JARS[],2,0),IF(OR(Calculator!$A$2=2,Calculator!$A$2=3),VLOOKUP(PickleballReady[[#This Row],[Column1]],'1 GALLON'!A2:G19,2,0),"")),"")</f>
        <v>C1384G</v>
      </c>
    </row>
    <row r="31" spans="1:5" ht="24.95" customHeight="1" x14ac:dyDescent="0.25">
      <c r="A31" s="47" t="s">
        <v>60</v>
      </c>
      <c r="B31" s="70">
        <v>2</v>
      </c>
      <c r="C31" s="71">
        <f>IF(Calculator!$A$3=1,ROUNDUP(SUM(VLOOKUP(A31,GALLON55READY[#All],3,FALSE)*$C$6*PickleballReady[[#This Row],[Column2]]),0),IF(Calculator!$A$3=2,ROUNDUP(SUM(VLOOKUP(A31,GALLON55READY[#All],4,FALSE)*$C$6*PickleballReady[[#This Row],[Column2]]),0),IF(Calculator!$A$3=3,ROUNDUP(SUM(VLOOKUP(A31,GALLON55READY[#All],5,FALSE)*$C$6*PickleballReady[[#This Row],[Column2]]),0),IF(Calculator!$A$3=4,ROUNDUP(SUM(VLOOKUP(A31,GALLON55READY[#All],6,FALSE)*$C$6*PickleballReady[[#This Row],[Column2]]),0)))))</f>
        <v>12</v>
      </c>
      <c r="D31" s="61">
        <f>ROUNDUP(SUM(PickleballReady[[#This Row],[Column3]]/IF(Calculator!$A$2=1,5,IF(Calculator!$A$2=2,30,IF(Calculator!$A$2=3,55,"")))),0)</f>
        <v>1</v>
      </c>
      <c r="E31" s="61" t="str">
        <f>VLOOKUP(A31,GALLON55READY[],2,0)&amp;IF(Calculator!$A$2=1,"P",IF(Calculator!$A$2=2,"K",IF(Calculator!$A$2=3,"D","")))</f>
        <v>C1298D</v>
      </c>
    </row>
    <row r="32" spans="1:5" ht="24.95" customHeight="1" x14ac:dyDescent="0.25">
      <c r="A32" s="47" t="str">
        <f>Calculator!$B$26</f>
        <v>Blue ColorPlus</v>
      </c>
      <c r="B32" s="70"/>
      <c r="C32" s="71"/>
      <c r="D32" s="61" t="str">
        <f>IF(Calculator!$A$2=1,(D31*1),IF(Calculator!$A$2=2,(D31*2),IF(Calculator!$A$2=3,(D31*4),"")))&amp; IF(OR(Calculator!$A$2=2,Calculator!$A$2=3)," - 1 Gallon Pail(s)",IF(Calculator!$A$2=1," - 24 OZ Jar(s)"))</f>
        <v>4 - 1 Gallon Pail(s)</v>
      </c>
      <c r="E32" s="61" t="str">
        <f>IFERROR(IF(Calculator!$A$2=1,VLOOKUP(PickleballReady[[#This Row],[Column1]],OZ_JARS[],2,0),IF(OR(Calculator!$A$2=2,Calculator!$A$2=3),VLOOKUP(PickleballReady[[#This Row],[Column1]],'1 GALLON'!A2:G19,2,0),"")),"")</f>
        <v>C1384G</v>
      </c>
    </row>
    <row r="33" spans="1:5" ht="24.95" customHeight="1" x14ac:dyDescent="0.25">
      <c r="A33" s="47" t="s">
        <v>61</v>
      </c>
      <c r="B33" s="70">
        <v>2</v>
      </c>
      <c r="C33" s="71">
        <f>IF(Calculator!$A$3=1,ROUNDUP(SUM(VLOOKUP(A33,GALLON55READY[#All],3,FALSE)*$C$6*PickleballReady[[#This Row],[Column2]]),0),IF(Calculator!$A$3=2,ROUNDUP(SUM(VLOOKUP(A33,GALLON55READY[#All],4,FALSE)*$C$6*PickleballReady[[#This Row],[Column2]]),0),IF(Calculator!$A$3=3,ROUNDUP(SUM(VLOOKUP(A33,GALLON55READY[#All],5,FALSE)*$C$6*PickleballReady[[#This Row],[Column2]]),0),IF(Calculator!$A$3=4,ROUNDUP(SUM(VLOOKUP(A33,GALLON55READY[#All],6,FALSE)*$C$6*PickleballReady[[#This Row],[Column2]]),0)))))</f>
        <v>14</v>
      </c>
      <c r="D33" s="61">
        <f>ROUNDUP(SUM(PickleballReady[[#This Row],[Column3]]/5),0)</f>
        <v>3</v>
      </c>
      <c r="E33" s="61" t="str">
        <f>VLOOKUP(A33,GALLON55READY[],2,0)</f>
        <v>C1299P</v>
      </c>
    </row>
    <row r="34" spans="1:5" ht="24.95" customHeight="1" x14ac:dyDescent="0.25">
      <c r="A34" s="47" t="str">
        <f>Calculator!$B$26</f>
        <v>Blue ColorPlus</v>
      </c>
      <c r="B34" s="70"/>
      <c r="C34" s="71"/>
      <c r="D34" s="61" t="str">
        <f>SUM(D33*1)&amp; IF(OR(A33="Ready-Mix Color",A33="PickleMaster RTU")," - 24 OZ Jar(s)","")</f>
        <v>3 - 24 OZ Jar(s)</v>
      </c>
      <c r="E34" s="39" t="str">
        <f>IFERROR(IF(OR(A33="Ready-Mix Color",A33="PickleMaster RTU"),VLOOKUP(PickleballReady[[#This Row],[Column1]],OZ_JARS[],2,0)),"")</f>
        <v>C1384J</v>
      </c>
    </row>
    <row r="35" spans="1:5" ht="24.95" customHeight="1" x14ac:dyDescent="0.25">
      <c r="A35" s="68" t="s">
        <v>38</v>
      </c>
      <c r="B35" s="69" t="s">
        <v>27</v>
      </c>
      <c r="C35" s="69" t="s">
        <v>28</v>
      </c>
      <c r="D35" s="67" t="s">
        <v>29</v>
      </c>
      <c r="E35" s="60" t="s">
        <v>30</v>
      </c>
    </row>
    <row r="36" spans="1:5" ht="24.95" customHeight="1" x14ac:dyDescent="0.25">
      <c r="A36" s="72" t="s">
        <v>39</v>
      </c>
      <c r="B36" s="70"/>
      <c r="C36" s="71"/>
      <c r="D36" s="61"/>
      <c r="E36" s="61"/>
    </row>
    <row r="37" spans="1:5" ht="24.95" customHeight="1" x14ac:dyDescent="0.25">
      <c r="A37" s="47" t="s">
        <v>40</v>
      </c>
      <c r="B37" s="70">
        <v>3</v>
      </c>
      <c r="C37" s="71">
        <f>IF(Calculator!$A$3=1,ROUNDUP(SUM(VLOOKUP(A37,GALLON55READY[#All],3,FALSE)*$C$3*PickleballReady[[#This Row],[Column2]]),0),IF(Calculator!$A$3=2,ROUNDUP(SUM(VLOOKUP(A37,GALLON55READY[#All],4,FALSE)*$C$3*PickleballReady[[#This Row],[Column2]]),0),IF(Calculator!$A$3=3,ROUNDUP(SUM(VLOOKUP(A37,GALLON55READY[#All],5,FALSE)*$C$3*PickleballReady[[#This Row],[Column2]]),0),IF(Calculator!$A$3=4,ROUNDUP(SUM(VLOOKUP(A37,GALLON55READY[#All],6,FALSE)*$C$3*PickleballReady[[#This Row],[Column2]]),0)))))</f>
        <v>160</v>
      </c>
      <c r="D37" s="61">
        <f>ROUNDUP(SUM(PickleballReady[[#This Row],[Column3]]/IF(Calculator!$A$2=1,5,IF(Calculator!$A$2=2,30,IF(Calculator!$A$2=3,55,"")))),0)</f>
        <v>3</v>
      </c>
      <c r="E37" s="61" t="str">
        <f>VLOOKUP(A37,GALLON55READY[],2,0)&amp;IF(Calculator!$A$2=1,"P",IF(Calculator!$A$2=2,"K",IF(Calculator!$A$2=3,"D","")))</f>
        <v>C1460D</v>
      </c>
    </row>
    <row r="38" spans="1:5" ht="24.95" customHeight="1" x14ac:dyDescent="0.25">
      <c r="A38" s="47" t="s">
        <v>41</v>
      </c>
      <c r="B38" s="70">
        <v>2</v>
      </c>
      <c r="C38" s="71">
        <f>IF(Calculator!$A$3=1,ROUNDUP(SUM(VLOOKUP(A38,GALLON55READY[#All],3,FALSE)*$C$3*PickleballReady[[#This Row],[Column2]]),0),IF(Calculator!$A$3=2,ROUNDUP(SUM(VLOOKUP(A38,GALLON55READY[#All],4,FALSE)*$C$3*PickleballReady[[#This Row],[Column2]]),0),IF(Calculator!$A$3=3,ROUNDUP(SUM(VLOOKUP(A38,GALLON55READY[#All],5,FALSE)*$C$3*PickleballReady[[#This Row],[Column2]]),0),IF(Calculator!$A$3=4,ROUNDUP(SUM(VLOOKUP(A38,GALLON55READY[#All],6,FALSE)*$C$3*PickleballReady[[#This Row],[Column2]]),0)))))</f>
        <v>72</v>
      </c>
      <c r="D38" s="61">
        <f>ROUNDUP(SUM(PickleballReady[[#This Row],[Column3]]/IF(Calculator!$A$2=1,5,IF(Calculator!$A$2=2,30,IF(Calculator!$A$2=3,55,"")))),0)</f>
        <v>2</v>
      </c>
      <c r="E38" s="61" t="str">
        <f>VLOOKUP(A38,GALLON55READY[],2,0)&amp;IF(Calculator!$A$2=1,"P",IF(Calculator!$A$2=2,"K",IF(Calculator!$A$2=3,"D","")))</f>
        <v>C1450D</v>
      </c>
    </row>
    <row r="39" spans="1:5" ht="24.95" customHeight="1" x14ac:dyDescent="0.25">
      <c r="A39" s="72" t="s">
        <v>42</v>
      </c>
      <c r="B39" s="39"/>
      <c r="C39" s="71"/>
      <c r="D39" s="61"/>
      <c r="E39" s="61"/>
    </row>
    <row r="40" spans="1:5" ht="24.95" customHeight="1" x14ac:dyDescent="0.25">
      <c r="A40" s="47" t="s">
        <v>40</v>
      </c>
      <c r="B40" s="70">
        <v>5</v>
      </c>
      <c r="C40" s="71">
        <f>IF(Calculator!$A$3=1,ROUNDUP(SUM(VLOOKUP(A40,GALLON55READY[#All],3,FALSE)*$C$3*PickleballReady[[#This Row],[Column2]]),0),IF(Calculator!$A$3=2,ROUNDUP(SUM(VLOOKUP(A40,GALLON55READY[#All],4,FALSE)*$C$3*PickleballReady[[#This Row],[Column2]]),0),IF(Calculator!$A$3=3,ROUNDUP(SUM(VLOOKUP(A40,GALLON55READY[#All],5,FALSE)*$C$3*PickleballReady[[#This Row],[Column2]]),0),IF(Calculator!$A$3=4,ROUNDUP(SUM(VLOOKUP(A40,GALLON55READY[#All],6,FALSE)*$C$3*PickleballReady[[#This Row],[Column2]]),0)))))</f>
        <v>267</v>
      </c>
      <c r="D40" s="61">
        <f>ROUNDUP(SUM(PickleballReady[[#This Row],[Column3]]/IF(Calculator!$A$2=1,5,IF(Calculator!$A$2=2,30,IF(Calculator!$A$2=3,55,"")))),0)</f>
        <v>5</v>
      </c>
      <c r="E40" s="61" t="str">
        <f>VLOOKUP(A40,GALLON55READY[],2,0)&amp;IF(Calculator!$A$2=1,"P",IF(Calculator!$A$2=2,"K",IF(Calculator!$A$2=3,"D","")))</f>
        <v>C1460D</v>
      </c>
    </row>
    <row r="41" spans="1:5" ht="24.95" customHeight="1" x14ac:dyDescent="0.25">
      <c r="A41" s="47" t="s">
        <v>41</v>
      </c>
      <c r="B41" s="70">
        <v>2</v>
      </c>
      <c r="C41" s="71">
        <f>IF(Calculator!$A$3=1,ROUNDUP(SUM(VLOOKUP(A41,GALLON55READY[#All],3,FALSE)*$C$3*PickleballReady[[#This Row],[Column2]]),0),IF(Calculator!$A$3=2,ROUNDUP(SUM(VLOOKUP(A41,GALLON55READY[#All],4,FALSE)*$C$3*PickleballReady[[#This Row],[Column2]]),0),IF(Calculator!$A$3=3,ROUNDUP(SUM(VLOOKUP(A41,GALLON55READY[#All],5,FALSE)*$C$3*PickleballReady[[#This Row],[Column2]]),0),IF(Calculator!$A$3=4,ROUNDUP(SUM(VLOOKUP(A41,GALLON55READY[#All],6,FALSE)*$C$3*PickleballReady[[#This Row],[Column2]]),0)))))</f>
        <v>72</v>
      </c>
      <c r="D41" s="61">
        <f>ROUNDUP(SUM(PickleballReady[[#This Row],[Column3]]/IF(Calculator!$A$2=1,5,IF(Calculator!$A$2=2,30,IF(Calculator!$A$2=3,55,"")))),0)</f>
        <v>2</v>
      </c>
      <c r="E41" s="61" t="str">
        <f>VLOOKUP(A41,GALLON55READY[],2,0)&amp;IF(Calculator!$A$2=1,"P",IF(Calculator!$A$2=2,"K",IF(Calculator!$A$2=3,"D","")))</f>
        <v>C1450D</v>
      </c>
    </row>
    <row r="42" spans="1:5" ht="24.95" customHeight="1" x14ac:dyDescent="0.25">
      <c r="A42" s="68" t="s">
        <v>43</v>
      </c>
      <c r="B42" s="69" t="s">
        <v>27</v>
      </c>
      <c r="C42" s="69" t="s">
        <v>28</v>
      </c>
      <c r="D42" s="67"/>
      <c r="E42" s="60" t="s">
        <v>30</v>
      </c>
    </row>
    <row r="43" spans="1:5" ht="24.95" customHeight="1" x14ac:dyDescent="0.25">
      <c r="A43" s="47" t="s">
        <v>44</v>
      </c>
      <c r="B43" s="70">
        <v>1</v>
      </c>
      <c r="C43" s="70">
        <f>ROUNDUP(CEILING(B4/2, 1),0)</f>
        <v>1</v>
      </c>
      <c r="D43" s="61">
        <f>PickleballReady[[#This Row],[Column3]]</f>
        <v>1</v>
      </c>
      <c r="E43" s="61" t="str">
        <f>VLOOKUP(A43,GALLON55READY[],2,0)</f>
        <v>C1610G</v>
      </c>
    </row>
    <row r="44" spans="1:5" ht="24.95" customHeight="1" x14ac:dyDescent="0.25">
      <c r="A44" s="47" t="s">
        <v>45</v>
      </c>
      <c r="B44" s="70">
        <v>1</v>
      </c>
      <c r="C44" s="70">
        <f>ROUNDUP(CEILING(B4/2, 1),0)</f>
        <v>1</v>
      </c>
      <c r="D44" s="61">
        <f>PickleballReady[[#This Row],[Column3]]</f>
        <v>1</v>
      </c>
      <c r="E44" s="61" t="str">
        <f>VLOOKUP(A44,GALLON55READY[],2,0)</f>
        <v>C1620G</v>
      </c>
    </row>
    <row r="45" spans="1:5" ht="24.95" customHeight="1" x14ac:dyDescent="0.25">
      <c r="A45" s="68" t="s">
        <v>46</v>
      </c>
      <c r="B45" s="69" t="s">
        <v>47</v>
      </c>
      <c r="C45" s="39"/>
      <c r="D45" s="61"/>
      <c r="E45" s="61"/>
    </row>
    <row r="46" spans="1:5" ht="24.95" customHeight="1" x14ac:dyDescent="0.25">
      <c r="A46" s="47" t="s">
        <v>48</v>
      </c>
      <c r="B46" s="73">
        <f>ROUNDUP(SUM(4*B4),0)</f>
        <v>8</v>
      </c>
      <c r="C46" s="39"/>
      <c r="D46" s="61"/>
      <c r="E46" s="61"/>
    </row>
  </sheetData>
  <sheetProtection algorithmName="SHA-512" hashValue="SUNDF1ROqtG0XQIRrIC4+BBRTcLYm88Ea/rVuCPD0nsW53quoH1eGt9ZT05X0WgbthmwexeiNhmjsR9TQlLJrw==" saltValue="BZ67Bu9MCe5FHr+4B+75kA==" spinCount="100000" sheet="1" formatCells="0" formatColumns="0" formatRows="0" insertColumns="0" insertRows="0" insertHyperlinks="0" deleteColumns="0" deleteRows="0" sort="0" autoFilter="0" pivotTables="0"/>
  <phoneticPr fontId="9" type="noConversion"/>
  <conditionalFormatting sqref="B3">
    <cfRule type="cellIs" dxfId="84" priority="1" operator="equal">
      <formula>0</formula>
    </cfRule>
  </conditionalFormatting>
  <dataValidations count="1">
    <dataValidation type="list" allowBlank="1" showInputMessage="1" showErrorMessage="1" sqref="A1:C1 C3:C4" xr:uid="{82F80D47-9579-422F-B792-EF0B7D5C356D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82CA1-BE7D-46C0-A561-3EB13F77E050}">
  <sheetPr codeName="Sheet12"/>
  <dimension ref="A1:E44"/>
  <sheetViews>
    <sheetView topLeftCell="A23" zoomScale="80" zoomScaleNormal="80" workbookViewId="0">
      <selection activeCell="D25" sqref="D25"/>
    </sheetView>
  </sheetViews>
  <sheetFormatPr defaultRowHeight="15" x14ac:dyDescent="0.25"/>
  <cols>
    <col min="1" max="1" width="40.7109375" customWidth="1"/>
    <col min="2" max="2" width="25" bestFit="1" customWidth="1"/>
    <col min="3" max="3" width="27.28515625" bestFit="1" customWidth="1"/>
    <col min="4" max="4" width="28.7109375" bestFit="1" customWidth="1"/>
    <col min="5" max="5" width="25.42578125" customWidth="1"/>
  </cols>
  <sheetData>
    <row r="1" spans="1:5" ht="30" customHeight="1" thickBot="1" x14ac:dyDescent="0.3">
      <c r="A1" s="41"/>
      <c r="B1" s="42"/>
      <c r="C1" s="43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56</v>
      </c>
    </row>
    <row r="3" spans="1:5" ht="24.95" customHeight="1" thickBot="1" x14ac:dyDescent="0.3">
      <c r="A3" s="46" t="s">
        <v>8</v>
      </c>
      <c r="B3" s="57">
        <f>IF(Calculator!$A$5=1,SUM(Calculator!C5*Calculator!C6),IF(Calculator!$A$5=2,Calculator!C5,IF(Calculator!$A$5=3,SUM(Calculator!C5*9),IF(Calculator!$A$5=4,SUM(Calculator!C5*10.7639),""))))</f>
        <v>3200</v>
      </c>
      <c r="C3" s="56">
        <f>SUM(PickleballConc[[#This Row],[Column2]]/9)</f>
        <v>355.55555555555554</v>
      </c>
    </row>
    <row r="4" spans="1:5" ht="24.95" customHeight="1" thickBot="1" x14ac:dyDescent="0.3">
      <c r="A4" s="46" t="s">
        <v>9</v>
      </c>
      <c r="B4" s="45">
        <f>Calculator!B9</f>
        <v>2</v>
      </c>
      <c r="C4" s="44"/>
    </row>
    <row r="5" spans="1:5" ht="24.95" customHeight="1" thickBot="1" x14ac:dyDescent="0.3">
      <c r="A5" s="47" t="s">
        <v>57</v>
      </c>
      <c r="B5" s="52">
        <f>SUM(600*B4)</f>
        <v>1200</v>
      </c>
      <c r="C5" s="54">
        <f>SUM(PickleballConc[[#This Row],[Column2]]/9)</f>
        <v>133.33333333333334</v>
      </c>
    </row>
    <row r="6" spans="1:5" ht="24.95" customHeight="1" x14ac:dyDescent="0.25">
      <c r="A6" s="51" t="s">
        <v>58</v>
      </c>
      <c r="B6" s="53">
        <f>SUM(280*B4)</f>
        <v>560</v>
      </c>
      <c r="C6" s="54">
        <f>SUM(PickleballConc[[#This Row],[Column2]]/9)</f>
        <v>62.222222222222221</v>
      </c>
    </row>
    <row r="7" spans="1:5" ht="24.95" customHeight="1" thickBot="1" x14ac:dyDescent="0.3">
      <c r="A7" s="68" t="s">
        <v>12</v>
      </c>
      <c r="B7" s="69" t="s">
        <v>13</v>
      </c>
      <c r="C7" s="80" t="s">
        <v>14</v>
      </c>
      <c r="D7" s="60" t="s">
        <v>15</v>
      </c>
      <c r="E7" s="59"/>
    </row>
    <row r="8" spans="1:5" ht="24.95" customHeight="1" thickBot="1" x14ac:dyDescent="0.3">
      <c r="A8" s="46" t="s">
        <v>16</v>
      </c>
      <c r="B8" s="79" t="s">
        <v>17</v>
      </c>
      <c r="C8" s="54" t="s">
        <v>18</v>
      </c>
      <c r="D8" s="39" t="s">
        <v>19</v>
      </c>
      <c r="E8" s="59"/>
    </row>
    <row r="9" spans="1:5" ht="24.95" customHeight="1" thickBot="1" x14ac:dyDescent="0.3">
      <c r="A9" s="46" t="s">
        <v>20</v>
      </c>
      <c r="B9" s="79" t="s">
        <v>17</v>
      </c>
      <c r="C9" s="54" t="s">
        <v>21</v>
      </c>
      <c r="D9" s="39" t="s">
        <v>22</v>
      </c>
      <c r="E9" s="59"/>
    </row>
    <row r="10" spans="1:5" ht="24.95" customHeight="1" thickBot="1" x14ac:dyDescent="0.3">
      <c r="A10" s="46" t="s">
        <v>23</v>
      </c>
      <c r="B10" s="79" t="s">
        <v>24</v>
      </c>
      <c r="C10" s="54" t="s">
        <v>21</v>
      </c>
      <c r="D10" s="39" t="s">
        <v>25</v>
      </c>
      <c r="E10" s="59"/>
    </row>
    <row r="11" spans="1:5" ht="24.95" customHeight="1" thickBot="1" x14ac:dyDescent="0.3">
      <c r="A11" s="68" t="s">
        <v>26</v>
      </c>
      <c r="B11" s="69" t="s">
        <v>27</v>
      </c>
      <c r="C11" s="69" t="s">
        <v>49</v>
      </c>
      <c r="D11" s="67" t="s">
        <v>29</v>
      </c>
      <c r="E11" s="60" t="s">
        <v>30</v>
      </c>
    </row>
    <row r="12" spans="1:5" ht="24.95" customHeight="1" thickBot="1" x14ac:dyDescent="0.3">
      <c r="A12" s="46" t="s">
        <v>31</v>
      </c>
      <c r="B12" s="70" t="str">
        <f>IF(OR(Calculator!$A$3=1,Calculator!$A$3=3),1,IF(OR(Calculator!$A$3=2,Calculator!$A$3=4),""))</f>
        <v/>
      </c>
      <c r="C12" s="71" t="str">
        <f>IFERROR(IF(Calculator!$A$3=1,ROUNDUP(SUM(VLOOKUP(PickleballReady[[#This Row],[Column1]],GALLON55READY[#All],3,FALSE)*$C$3*PickleballReady[[#This Row],[Column2]]),0),IF(Calculator!$A$3=2,ROUNDUP(SUM(VLOOKUP(PickleballReady[[#This Row],[Column1]],GALLON55READY[#All],4,FALSE)*$C$3*PickleballReady[[#This Row],[Column2]])*TennisReady[[#This Row],[Column2]],0),IF(Calculator!$A$3=3,ROUNDUP(SUM(VLOOKUP(PickleballReady[[#This Row],[Column1]],GALLON55READY[#All],5,FALSE)*$C$3*PickleballReady[[#This Row],[Column2]]),0),IF(Calculator!$A$3=4,ROUNDUP(SUM(VLOOKUP(PickleballReady[[#This Row],[Column1]],GALLON55READY[#All],6,FALSE)*$C$3*PickleballReady[[#This Row],[Column2]]),0))))),"")</f>
        <v/>
      </c>
      <c r="D12" s="82" t="str">
        <f>IFERROR(ROUNDUP(SUM(PickleballConc[[#This Row],[Column3]]/IF(Calculator!$A$2=1,5,IF(Calculator!$A$2=2,30,IF(Calculator!$A$2=3,55,"")))),0),"")</f>
        <v/>
      </c>
      <c r="E12" s="61" t="str">
        <f>VLOOKUP(A12,GALLON55READY[],2,0)&amp;IF(Calculator!$A$2=1,"P",IF(Calculator!$A$2=2,"K",IF(Calculator!$A$2=3,"D","")))</f>
        <v>C1650D</v>
      </c>
    </row>
    <row r="13" spans="1:5" ht="24.95" customHeight="1" x14ac:dyDescent="0.25">
      <c r="A13" s="47" t="s">
        <v>50</v>
      </c>
      <c r="B13" s="70">
        <f>IF(OR(Calculator!$A$3=3,Calculator!$A$3=4,Calculator!$A$3=1),1,IF(Calculator!$A$3=2,2,""))</f>
        <v>2</v>
      </c>
      <c r="C13" s="71">
        <f>IF(Calculator!$A$3=1,ROUNDUP(SUM(VLOOKUP(A13,GALLON55CONC[],3,FALSE)*$C$3*PickleballConc[[#This Row],[Column2]]),0),IF(Calculator!$A$3=2,ROUNDUP(SUM(VLOOKUP(A13,GALLON55CONC[],4,FALSE)*$C$3*PickleballConc[[#This Row],[Column2]]),0),IF(Calculator!$A$3=3,ROUNDUP(SUM(VLOOKUP(A13,GALLON55CONC[],5,FALSE)*$C$3*PickleballConc[[#This Row],[Column2]]),0),IF(Calculator!$A$3=4,ROUNDUP(SUM(VLOOKUP(A13,GALLON55CONC[],6,FALSE)*$C$3*PickleballConc[[#This Row],[Column2]]),0)))))</f>
        <v>64</v>
      </c>
      <c r="D13" s="61">
        <f>ROUNDUP(SUM(PickleballConc[[#This Row],[Column3]]/IF(Calculator!$A$2=1,5,IF(Calculator!$A$2=2,30,IF(Calculator!$A$2=3,55,"")))),0)</f>
        <v>2</v>
      </c>
      <c r="E13" s="39" t="str">
        <f>VLOOKUP(A13,GALLON55CONC[],2,0)&amp;IF(Calculator!$A$2=1,"P",IF(Calculator!$A$2=2,"K",IF(Calculator!$A$2=3,"D","")))</f>
        <v>C1300D</v>
      </c>
    </row>
    <row r="14" spans="1:5" ht="24.95" customHeight="1" x14ac:dyDescent="0.25">
      <c r="A14" s="47" t="s">
        <v>51</v>
      </c>
      <c r="B14" s="70"/>
      <c r="C14" s="71">
        <f>IF(Calculator!$A$2=1,(D13*70),IF(Calculator!$A$2=2,(D13*400),IF(Calculator!$A$2=3,(D13*750),"")))</f>
        <v>1500</v>
      </c>
      <c r="D14" s="61" t="str">
        <f>ROUNDUP(SUM(PickleballConc[[#This Row],[Column3]]/50),0)&amp; " - 50 lbs. Bags"</f>
        <v>30 - 50 lbs. Bags</v>
      </c>
      <c r="E14" s="61" t="s">
        <v>52</v>
      </c>
    </row>
    <row r="15" spans="1:5" ht="24.95" customHeight="1" x14ac:dyDescent="0.25">
      <c r="A15" s="68" t="s">
        <v>26</v>
      </c>
      <c r="B15" s="69" t="s">
        <v>27</v>
      </c>
      <c r="C15" s="69" t="s">
        <v>49</v>
      </c>
      <c r="D15" s="67" t="s">
        <v>29</v>
      </c>
      <c r="E15" s="60" t="s">
        <v>30</v>
      </c>
    </row>
    <row r="16" spans="1:5" ht="24.95" customHeight="1" x14ac:dyDescent="0.25">
      <c r="A16" s="47" t="s">
        <v>53</v>
      </c>
      <c r="B16" s="70">
        <v>2</v>
      </c>
      <c r="C16" s="71">
        <f>IF(Calculator!$A$3=1,ROUNDUP(SUM(VLOOKUP(A16,GALLON55CONC[],3,FALSE)*$C$3*PickleballConc[[#This Row],[Column2]]),0),IF(Calculator!$A$3=2,ROUNDUP(SUM(VLOOKUP(A16,GALLON55CONC[],4,FALSE)*$C$3*PickleballConc[[#This Row],[Column2]]),0),IF(Calculator!$A$3=3,ROUNDUP(SUM(VLOOKUP(A16,GALLON55CONC[],5,FALSE)*$C$3*PickleballConc[[#This Row],[Column2]]),0),IF(Calculator!$A$3=4,ROUNDUP(SUM(VLOOKUP(A16,GALLON55CONC[],6,FALSE)*$C$3*PickleballConc[[#This Row],[Column2]]),0)))))</f>
        <v>50</v>
      </c>
      <c r="D16" s="61">
        <f>ROUNDUP(SUM(PickleballConc[[#This Row],[Column3]]/IF(Calculator!$A$2=1,5,IF(Calculator!$A$2=2,30,IF(Calculator!$A$2=3,55,"")))),0)</f>
        <v>1</v>
      </c>
      <c r="E16" s="39" t="str">
        <f>VLOOKUP(A16,GALLON55CONC[],2,0)&amp;IF(Calculator!$A$2=1,"P",IF(Calculator!$A$2=2,"K",IF(Calculator!$A$2=3,"D","")))</f>
        <v>C1360D</v>
      </c>
    </row>
    <row r="17" spans="1:5" ht="24.95" customHeight="1" x14ac:dyDescent="0.25">
      <c r="A17" s="47" t="s">
        <v>54</v>
      </c>
      <c r="B17" s="70"/>
      <c r="C17" s="70">
        <f>IF(Calculator!$A$2=1,(D16*35),IF(Calculator!$A$2=2,(D16*200),IF(Calculator!$A$2=3,(D16*400),"")))</f>
        <v>400</v>
      </c>
      <c r="D17" s="61" t="str">
        <f>ROUNDUP(SUM(PickleballConc[[#This Row],[Column3]]/50),0)&amp; " - 50 lbs. Bags"</f>
        <v>8 - 50 lbs. Bags</v>
      </c>
      <c r="E17" s="61" t="s">
        <v>55</v>
      </c>
    </row>
    <row r="18" spans="1:5" ht="24.95" customHeight="1" x14ac:dyDescent="0.25">
      <c r="A18" s="47" t="str">
        <f>Calculator!$B$22</f>
        <v>Light Blue ColorPlus</v>
      </c>
      <c r="B18" s="70"/>
      <c r="C18" s="70"/>
      <c r="D18" s="61" t="str">
        <f>IF(Calculator!$A$2=1,(D16*2),IF(Calculator!$A$2=2,(D16*2),IF(Calculator!$A$2=3,(D16*4),"")))&amp; IF(OR(Calculator!$A$2=2,Calculator!$A$2=3)," - 1 Gallon Pail(s)",IF(Calculator!$A$2=1," - 24 OZ Jar(s)"))</f>
        <v>4 - 1 Gallon Pail(s)</v>
      </c>
      <c r="E18" s="61" t="str">
        <f>IFERROR(IF(Calculator!$A$2=1,VLOOKUP(PickleballConc[[#This Row],[Column1]],OZ_JARS[],2,0),IF(OR(Calculator!$A$2=2,Calculator!$A$2=3),VLOOKUP(PickleballConc[[#This Row],[Column1]],'1 GALLON'!A2:G19,2,0),"")),"")</f>
        <v>C1385G</v>
      </c>
    </row>
    <row r="19" spans="1:5" ht="24.95" customHeight="1" x14ac:dyDescent="0.25">
      <c r="A19" s="47" t="s">
        <v>60</v>
      </c>
      <c r="B19" s="70">
        <v>2</v>
      </c>
      <c r="C19" s="71">
        <f>IF(Calculator!$A$3=1,ROUNDUP(SUM(VLOOKUP(A19,GALLON55CONC[],3,FALSE)*$C$3*PickleballConc[[#This Row],[Column2]]),0),IF(Calculator!$A$3=2,ROUNDUP(SUM(VLOOKUP(A19,GALLON55CONC[],4,FALSE)*$C$3*PickleballConc[[#This Row],[Column2]]),0),IF(Calculator!$A$3=3,ROUNDUP(SUM(VLOOKUP(A19,GALLON55CONC[],5,FALSE)*$C$3*PickleballConc[[#This Row],[Column2]]),0),IF(Calculator!$A$3=4,ROUNDUP(SUM(VLOOKUP(A19,GALLON55CONC[],6,FALSE)*$C$3*PickleballConc[[#This Row],[Column2]]),0)))))</f>
        <v>64</v>
      </c>
      <c r="D19" s="61">
        <f>ROUNDUP(SUM(PickleballConc[[#This Row],[Column3]]/IF(Calculator!$A$2=1,5,IF(Calculator!$A$2=2,30,IF(Calculator!$A$2=3,55,"")))),0)</f>
        <v>2</v>
      </c>
      <c r="E19" s="39" t="str">
        <f>VLOOKUP(A19,GALLON55CONC[],2,0)&amp;IF(Calculator!$A$2=1,"P",IF(Calculator!$A$2=2,"K",IF(Calculator!$A$2=3,"D","")))</f>
        <v>C1298D</v>
      </c>
    </row>
    <row r="20" spans="1:5" ht="24.95" customHeight="1" x14ac:dyDescent="0.25">
      <c r="A20" s="47" t="str">
        <f>Calculator!$B$22</f>
        <v>Light Blue ColorPlus</v>
      </c>
      <c r="B20" s="70"/>
      <c r="C20" s="71"/>
      <c r="D20" s="61" t="str">
        <f>IF(Calculator!$A$2=1,(D19*2),IF(Calculator!$A$2=2,(D19*2),IF(Calculator!$A$2=3,(D19*4),"")))&amp; IF(OR(Calculator!$A$2=2,Calculator!$A$2=3)," - 1 Gallon Pail(s)",IF(Calculator!$A$2=1," - 24 OZ Jar(s)"))</f>
        <v>8 - 1 Gallon Pail(s)</v>
      </c>
      <c r="E20" s="61" t="str">
        <f>IFERROR(IF(Calculator!$A$2=1,VLOOKUP(PickleballConc[[#This Row],[Column1]],OZ_JARS[],2,0),IF(OR(Calculator!$A$2=2,Calculator!$A$2=3),VLOOKUP(PickleballConc[[#This Row],[Column1]],'1 GALLON'!A2:G19,2,0),"")),"")</f>
        <v>C1385G</v>
      </c>
    </row>
    <row r="21" spans="1:5" ht="24.95" customHeight="1" x14ac:dyDescent="0.25">
      <c r="A21" s="68" t="s">
        <v>64</v>
      </c>
      <c r="B21" s="69" t="s">
        <v>27</v>
      </c>
      <c r="C21" s="69" t="s">
        <v>49</v>
      </c>
      <c r="D21" s="67" t="s">
        <v>29</v>
      </c>
      <c r="E21" s="60" t="s">
        <v>30</v>
      </c>
    </row>
    <row r="22" spans="1:5" ht="24.95" customHeight="1" x14ac:dyDescent="0.25">
      <c r="A22" s="47" t="s">
        <v>53</v>
      </c>
      <c r="B22" s="70">
        <v>2</v>
      </c>
      <c r="C22" s="71">
        <f>IF(Calculator!$A$3=1,ROUNDUP(SUM(VLOOKUP(A22,GALLON55CONC[],3,FALSE)*$C$5*PickleballConc[[#This Row],[Column2]]),0),IF(Calculator!$A$3=2,ROUNDUP(SUM(VLOOKUP(A22,GALLON55CONC[],4,FALSE)*$C$5*PickleballConc[[#This Row],[Column2]]),0),IF(Calculator!$A$3=3,ROUNDUP(SUM(VLOOKUP(A22,GALLON55CONC[],5,FALSE)*$C$5*PickleballConc[[#This Row],[Column2]]),0),IF(Calculator!$A$3=4,ROUNDUP(SUM(VLOOKUP(A22,GALLON55CONC[],6,FALSE)*$C$5*PickleballConc[[#This Row],[Column2]]),0)))))</f>
        <v>19</v>
      </c>
      <c r="D22" s="61">
        <f>ROUNDUP(SUM(PickleballConc[[#This Row],[Column3]]/IF(Calculator!$A$2=1,5,IF(Calculator!$A$2=2,30,IF(Calculator!$A$2=3,55,"")))),0)</f>
        <v>1</v>
      </c>
      <c r="E22" s="39" t="str">
        <f>VLOOKUP(A22,GALLON55CONC[],2,0)&amp;IF(Calculator!$A$2=1,"P",IF(Calculator!$A$2=2,"K",IF(Calculator!$A$2=3,"D","")))</f>
        <v>C1360D</v>
      </c>
    </row>
    <row r="23" spans="1:5" ht="24.95" customHeight="1" x14ac:dyDescent="0.25">
      <c r="A23" s="47" t="s">
        <v>54</v>
      </c>
      <c r="B23" s="70"/>
      <c r="C23" s="70">
        <f>IF(Calculator!$A$2=1,(D22*35),IF(Calculator!$A$2=2,(D22*200),IF(Calculator!$A$2=3,(D22*400),"")))</f>
        <v>400</v>
      </c>
      <c r="D23" s="61" t="str">
        <f>ROUNDUP(SUM(PickleballConc[[#This Row],[Column3]]/50),0)&amp; " - 50 lbs. Bags"</f>
        <v>8 - 50 lbs. Bags</v>
      </c>
      <c r="E23" s="61" t="s">
        <v>55</v>
      </c>
    </row>
    <row r="24" spans="1:5" ht="24.95" customHeight="1" x14ac:dyDescent="0.25">
      <c r="A24" s="47" t="str">
        <f>Calculator!$B$24</f>
        <v>Blue ColorPlus</v>
      </c>
      <c r="B24" s="70"/>
      <c r="C24" s="70"/>
      <c r="D24" s="61" t="str">
        <f>IF(Calculator!$A$2=1,(D22*2),IF(Calculator!$A$2=2,(D22*2),IF(Calculator!$A$2=3,(D22*4),"")))&amp; IF(OR(Calculator!$A$2=2,Calculator!$A$2=3)," - 1 Gallon Pail(s)",IF(Calculator!$A$2=1," - 24 OZ Jar(s)"))</f>
        <v>4 - 1 Gallon Pail(s)</v>
      </c>
      <c r="E24" s="61" t="str">
        <f>IFERROR(IF(Calculator!$A$2=1,VLOOKUP(PickleballConc[[#This Row],[Column1]],OZ_JARS[],2,0),IF(OR(Calculator!$A$2=2,Calculator!$A$2=3),VLOOKUP(PickleballConc[[#This Row],[Column1]],'1 GALLON'!A2:G19,2,0),"")),"")</f>
        <v>C1384G</v>
      </c>
    </row>
    <row r="25" spans="1:5" ht="29.25" customHeight="1" x14ac:dyDescent="0.25">
      <c r="A25" s="47" t="s">
        <v>60</v>
      </c>
      <c r="B25" s="70">
        <v>2</v>
      </c>
      <c r="C25" s="71">
        <f>IF(Calculator!$A$3=1,ROUNDUP(SUM(VLOOKUP(A25,GALLON55CONC[],3,FALSE)*$C$5*PickleballConc[[#This Row],[Column2]]),0),IF(Calculator!$A$3=2,ROUNDUP(SUM(VLOOKUP(A25,GALLON55CONC[],4,FALSE)*$C$5*PickleballConc[[#This Row],[Column2]]),0),IF(Calculator!$A$3=3,ROUNDUP(SUM(VLOOKUP(A25,GALLON55CONC[],5,FALSE)*$C$5*PickleballConc[[#This Row],[Column2]]),0),IF(Calculator!$A$3=4,ROUNDUP(SUM(VLOOKUP(A25,GALLON55CONC[],6,FALSE)*$C$5*PickleballConc[[#This Row],[Column2]]),0)))))</f>
        <v>24</v>
      </c>
      <c r="D25" s="61">
        <f>ROUNDUP(SUM(PickleballConc[[#This Row],[Column3]]/IF(Calculator!$A$2=1,5,IF(Calculator!$A$2=2,30,IF(Calculator!$A$2=3,55,"")))),0)</f>
        <v>1</v>
      </c>
      <c r="E25" s="39" t="str">
        <f>VLOOKUP(A25,GALLON55CONC[],2,0)&amp;IF(Calculator!$A$2=1,"P",IF(Calculator!$A$2=2,"K",IF(Calculator!$A$2=3,"D","")))</f>
        <v>C1298D</v>
      </c>
    </row>
    <row r="26" spans="1:5" ht="29.25" customHeight="1" x14ac:dyDescent="0.25">
      <c r="A26" s="47" t="str">
        <f>Calculator!$B$24</f>
        <v>Blue ColorPlus</v>
      </c>
      <c r="B26" s="70"/>
      <c r="C26" s="71"/>
      <c r="D26" s="61" t="str">
        <f>IF(Calculator!$A$2=1,(D25*2),IF(Calculator!$A$2=2,(D25*2),IF(Calculator!$A$2=3,(D25*4),"")))&amp; IF(OR(Calculator!$A$2=2,Calculator!$A$2=3)," - 1 Gallon Pail(s)",IF(Calculator!$A$2=1," - 24 OZ Jar(s)"))</f>
        <v>4 - 1 Gallon Pail(s)</v>
      </c>
      <c r="E26" s="61" t="str">
        <f>IFERROR(IF(Calculator!$A$2=1,VLOOKUP(PickleballConc[[#This Row],[Column1]],OZ_JARS[],2,0),IF(OR(Calculator!$A$2=2,Calculator!$A$2=3),VLOOKUP(PickleballConc[[#This Row],[Column1]],'1 GALLON'!A2:G19,2,0),"")),"")</f>
        <v>C1384G</v>
      </c>
    </row>
    <row r="27" spans="1:5" ht="24.95" customHeight="1" x14ac:dyDescent="0.25">
      <c r="A27" s="68" t="s">
        <v>65</v>
      </c>
      <c r="B27" s="69" t="s">
        <v>27</v>
      </c>
      <c r="C27" s="69" t="s">
        <v>49</v>
      </c>
      <c r="D27" s="67" t="s">
        <v>29</v>
      </c>
      <c r="E27" s="60" t="s">
        <v>30</v>
      </c>
    </row>
    <row r="28" spans="1:5" ht="24.95" customHeight="1" x14ac:dyDescent="0.25">
      <c r="A28" s="47" t="s">
        <v>53</v>
      </c>
      <c r="B28" s="70">
        <v>2</v>
      </c>
      <c r="C28" s="71">
        <f>IF(Calculator!$A$3=1,ROUNDUP(SUM(VLOOKUP(A28,GALLON55CONC[],3,FALSE)*$C$6*PickleballConc[[#This Row],[Column2]]),0),IF(Calculator!$A$3=2,ROUNDUP(SUM(VLOOKUP(A28,GALLON55CONC[],4,FALSE)*$C$6*PickleballConc[[#This Row],[Column2]]),0),IF(Calculator!$A$3=3,ROUNDUP(SUM(VLOOKUP(A28,GALLON55CONC[],5,FALSE)*$C$6*PickleballConc[[#This Row],[Column2]]),0),IF(Calculator!$A$3=4,ROUNDUP(SUM(VLOOKUP(A28,GALLON55CONC[],6,FALSE)*$C$6*PickleballConc[[#This Row],[Column2]]),0)))))</f>
        <v>9</v>
      </c>
      <c r="D28" s="61">
        <f>ROUNDUP(SUM(PickleballConc[[#This Row],[Column3]]/IF(Calculator!$A$2=1,5,IF(Calculator!$A$2=2,30,IF(Calculator!$A$2=3,55,"")))),0)</f>
        <v>1</v>
      </c>
      <c r="E28" s="39" t="str">
        <f>VLOOKUP(A28,GALLON55CONC[],2,0)&amp;IF(Calculator!$A$2=1,"P",IF(Calculator!$A$2=2,"K",IF(Calculator!$A$2=3,"D","")))</f>
        <v>C1360D</v>
      </c>
    </row>
    <row r="29" spans="1:5" ht="24.95" customHeight="1" x14ac:dyDescent="0.25">
      <c r="A29" s="47" t="s">
        <v>54</v>
      </c>
      <c r="B29" s="70"/>
      <c r="C29" s="70">
        <f>IF(Calculator!$A$2=1,(D28*35),IF(Calculator!$A$2=2,(D28*200),IF(Calculator!$A$2=3,(D28*400),"")))</f>
        <v>400</v>
      </c>
      <c r="D29" s="61" t="str">
        <f>ROUNDUP(SUM(PickleballConc[[#This Row],[Column3]]/50),0)&amp; " - 50 lbs. Bags"</f>
        <v>8 - 50 lbs. Bags</v>
      </c>
      <c r="E29" s="61" t="s">
        <v>55</v>
      </c>
    </row>
    <row r="30" spans="1:5" ht="24.95" customHeight="1" x14ac:dyDescent="0.25">
      <c r="A30" s="47" t="str">
        <f>Calculator!$B$26</f>
        <v>Blue ColorPlus</v>
      </c>
      <c r="B30" s="70"/>
      <c r="C30" s="71"/>
      <c r="D30" s="61" t="str">
        <f>IF(Calculator!$A$2=1,(D28*2),IF(Calculator!$A$2=2,(D28*2),IF(Calculator!$A$2=3,(D28*4),"")))&amp; IF(OR(Calculator!$A$2=2,Calculator!$A$2=3)," - 1 Gallon Pail(s)",IF(Calculator!$A$2=1," - 24 OZ Jar(s)"))</f>
        <v>4 - 1 Gallon Pail(s)</v>
      </c>
      <c r="E30" s="61" t="str">
        <f>IFERROR(IF(Calculator!$A$2=1,VLOOKUP(PickleballConc[[#This Row],[Column1]],OZ_JARS[],2,0),IF(OR(Calculator!$A$2=2,Calculator!$A$2=3),VLOOKUP(PickleballConc[[#This Row],[Column1]],'1 GALLON'!A2:G19,2,0),"")),"")</f>
        <v>C1384G</v>
      </c>
    </row>
    <row r="31" spans="1:5" ht="29.25" customHeight="1" x14ac:dyDescent="0.25">
      <c r="A31" s="47" t="s">
        <v>60</v>
      </c>
      <c r="B31" s="70">
        <v>2</v>
      </c>
      <c r="C31" s="71">
        <f>IF(Calculator!$A$3=1,ROUNDUP(SUM(VLOOKUP(A31,GALLON55CONC[],3,FALSE)*$C$6*PickleballConc[[#This Row],[Column2]]),0),IF(Calculator!$A$3=2,ROUNDUP(SUM(VLOOKUP(A31,GALLON55CONC[],4,FALSE)*$C$6*PickleballConc[[#This Row],[Column2]]),0),IF(Calculator!$A$3=3,ROUNDUP(SUM(VLOOKUP(A31,GALLON55CONC[],5,FALSE)*$C$6*PickleballConc[[#This Row],[Column2]]),0),IF(Calculator!$A$3=4,ROUNDUP(SUM(VLOOKUP(A31,GALLON55CONC[],6,FALSE)*$C$6*PickleballConc[[#This Row],[Column2]]),0)))))</f>
        <v>12</v>
      </c>
      <c r="D31" s="61">
        <f>ROUNDUP(SUM(PickleballConc[[#This Row],[Column3]]/IF(Calculator!$A$2=1,5,IF(Calculator!$A$2=2,30,IF(Calculator!$A$2=3,55,"")))),0)</f>
        <v>1</v>
      </c>
      <c r="E31" s="39" t="str">
        <f>VLOOKUP(A31,GALLON55CONC[],2,0)&amp;IF(Calculator!$A$2=1,"P",IF(Calculator!$A$2=2,"K",IF(Calculator!$A$2=3,"D","")))</f>
        <v>C1298D</v>
      </c>
    </row>
    <row r="32" spans="1:5" ht="29.25" customHeight="1" x14ac:dyDescent="0.25">
      <c r="A32" s="47" t="str">
        <f>Calculator!$B$26</f>
        <v>Blue ColorPlus</v>
      </c>
      <c r="B32" s="70"/>
      <c r="C32" s="71"/>
      <c r="D32" s="61" t="str">
        <f>IF(Calculator!$A$2=1,(D31*2),IF(Calculator!$A$2=2,(D31*2),IF(Calculator!$A$2=3,(D31*4),"")))&amp; IF(OR(Calculator!$A$2=2,Calculator!$A$2=3)," - 1 Gallon Pail(s)",IF(Calculator!$A$2=1," - 24 OZ Jar(s)"))</f>
        <v>4 - 1 Gallon Pail(s)</v>
      </c>
      <c r="E32" s="61" t="str">
        <f>IFERROR(IF(Calculator!$A$2=1,VLOOKUP(PickleballConc[[#This Row],[Column1]],OZ_JARS[],2,0),IF(OR(Calculator!$A$2=2,Calculator!$A$2=3),VLOOKUP(PickleballConc[[#This Row],[Column1]],'1 GALLON'!A2:G19,2,0),"")),"")</f>
        <v>C1384G</v>
      </c>
    </row>
    <row r="33" spans="1:5" ht="24.95" customHeight="1" x14ac:dyDescent="0.25">
      <c r="A33" s="68" t="s">
        <v>38</v>
      </c>
      <c r="B33" s="69" t="s">
        <v>27</v>
      </c>
      <c r="C33" s="69" t="s">
        <v>28</v>
      </c>
      <c r="D33" s="67" t="s">
        <v>29</v>
      </c>
      <c r="E33" s="60" t="s">
        <v>30</v>
      </c>
    </row>
    <row r="34" spans="1:5" ht="24.95" customHeight="1" x14ac:dyDescent="0.25">
      <c r="A34" s="72" t="s">
        <v>39</v>
      </c>
      <c r="B34" s="70"/>
      <c r="C34" s="39"/>
      <c r="D34" s="61"/>
      <c r="E34" s="39"/>
    </row>
    <row r="35" spans="1:5" ht="24.95" customHeight="1" x14ac:dyDescent="0.25">
      <c r="A35" s="47" t="s">
        <v>40</v>
      </c>
      <c r="B35" s="70">
        <v>3</v>
      </c>
      <c r="C35" s="71">
        <f>IF(Calculator!$A$3=1,ROUNDUP(SUM(VLOOKUP(A35,GALLON55CONC[],3,FALSE)*$C$3*PickleballConc[[#This Row],[Column2]]),0),IF(Calculator!$A$3=2,ROUNDUP(SUM(VLOOKUP(A35,GALLON55CONC[],4,FALSE)*$C$3*PickleballConc[[#This Row],[Column2]]),0),IF(Calculator!$A$3=3,ROUNDUP(SUM(VLOOKUP(A35,GALLON55CONC[],5,FALSE)*$C$3*PickleballConc[[#This Row],[Column2]]),0),IF(Calculator!$A$3=4,ROUNDUP(SUM(VLOOKUP(A35,GALLON55CONC[],6,FALSE)*$C$3*PickleballConc[[#This Row],[Column2]]),0)))))</f>
        <v>160</v>
      </c>
      <c r="D35" s="61">
        <f>ROUNDUP(SUM(PickleballConc[[#This Row],[Column3]]/IF(Calculator!$A$2=1,5,IF(Calculator!$A$2=2,30,IF(Calculator!$A$2=3,55,"")))),0)</f>
        <v>3</v>
      </c>
      <c r="E35" s="39" t="str">
        <f>VLOOKUP(A35,GALLON55CONC[],2,0)&amp;IF(Calculator!$A$2=1,"P",IF(Calculator!$A$2=2,"K",IF(Calculator!$A$2=3,"D","")))</f>
        <v>C1460D</v>
      </c>
    </row>
    <row r="36" spans="1:5" ht="24.95" customHeight="1" x14ac:dyDescent="0.25">
      <c r="A36" s="47" t="s">
        <v>41</v>
      </c>
      <c r="B36" s="70">
        <v>2</v>
      </c>
      <c r="C36" s="71">
        <f>IF(Calculator!$A$3=1,ROUNDUP(SUM(VLOOKUP(A36,GALLON55CONC[],3,FALSE)*$C$3*PickleballConc[[#This Row],[Column2]]),0),IF(Calculator!$A$3=2,ROUNDUP(SUM(VLOOKUP(A36,GALLON55CONC[],4,FALSE)*$C$3*PickleballConc[[#This Row],[Column2]]),0),IF(Calculator!$A$3=3,ROUNDUP(SUM(VLOOKUP(A36,GALLON55CONC[],5,FALSE)*$C$3*PickleballConc[[#This Row],[Column2]]),0),IF(Calculator!$A$3=4,ROUNDUP(SUM(VLOOKUP(A36,GALLON55CONC[],6,FALSE)*$C$3*PickleballConc[[#This Row],[Column2]]),0)))))</f>
        <v>72</v>
      </c>
      <c r="D36" s="61">
        <f>ROUNDUP(SUM(PickleballConc[[#This Row],[Column3]]/IF(Calculator!$A$2=1,5,IF(Calculator!$A$2=2,30,IF(Calculator!$A$2=3,55,"")))),0)</f>
        <v>2</v>
      </c>
      <c r="E36" s="39" t="str">
        <f>VLOOKUP(A36,GALLON55CONC[],2,0)&amp;IF(Calculator!$A$2=1,"P",IF(Calculator!$A$2=2,"K",IF(Calculator!$A$2=3,"D","")))</f>
        <v>C1450D</v>
      </c>
    </row>
    <row r="37" spans="1:5" ht="24.95" customHeight="1" x14ac:dyDescent="0.25">
      <c r="A37" s="72" t="s">
        <v>42</v>
      </c>
      <c r="B37" s="39"/>
      <c r="C37" s="39"/>
      <c r="D37" s="61"/>
      <c r="E37" s="39"/>
    </row>
    <row r="38" spans="1:5" ht="24.95" customHeight="1" x14ac:dyDescent="0.25">
      <c r="A38" s="47" t="s">
        <v>40</v>
      </c>
      <c r="B38" s="70">
        <v>5</v>
      </c>
      <c r="C38" s="71">
        <f>IF(Calculator!$A$3=1,ROUNDUP(SUM(VLOOKUP(A38,GALLON55CONC[],3,FALSE)*$C$3*PickleballConc[[#This Row],[Column2]]),0),IF(Calculator!$A$3=2,ROUNDUP(SUM(VLOOKUP(A38,GALLON55CONC[],4,FALSE)*$C$3*PickleballConc[[#This Row],[Column2]]),0),IF(Calculator!$A$3=3,ROUNDUP(SUM(VLOOKUP(A38,GALLON55CONC[],5,FALSE)*$C$3*PickleballConc[[#This Row],[Column2]]),0),IF(Calculator!$A$3=4,ROUNDUP(SUM(VLOOKUP(A38,GALLON55CONC[],6,FALSE)*$C$3*PickleballConc[[#This Row],[Column2]]),0)))))</f>
        <v>267</v>
      </c>
      <c r="D38" s="61">
        <f>ROUNDUP(SUM(PickleballConc[[#This Row],[Column3]]/IF(Calculator!$A$2=1,5,IF(Calculator!$A$2=2,30,IF(Calculator!$A$2=3,55,"")))),0)</f>
        <v>5</v>
      </c>
      <c r="E38" s="39" t="str">
        <f>VLOOKUP(A38,GALLON55CONC[],2,0)&amp;IF(Calculator!$A$2=1,"P",IF(Calculator!$A$2=2,"K",IF(Calculator!$A$2=3,"D","")))</f>
        <v>C1460D</v>
      </c>
    </row>
    <row r="39" spans="1:5" ht="24.95" customHeight="1" x14ac:dyDescent="0.25">
      <c r="A39" s="47" t="s">
        <v>41</v>
      </c>
      <c r="B39" s="70">
        <v>2</v>
      </c>
      <c r="C39" s="71">
        <f>IF(Calculator!$A$3=1,ROUNDUP(SUM(VLOOKUP(A39,GALLON55CONC[],3,FALSE)*$C$3*PickleballConc[[#This Row],[Column2]]),0),IF(Calculator!$A$3=2,ROUNDUP(SUM(VLOOKUP(A39,GALLON55CONC[],4,FALSE)*$C$3*PickleballConc[[#This Row],[Column2]]),0),IF(Calculator!$A$3=3,ROUNDUP(SUM(VLOOKUP(A39,GALLON55CONC[],5,FALSE)*$C$3*PickleballConc[[#This Row],[Column2]]),0),IF(Calculator!$A$3=4,ROUNDUP(SUM(VLOOKUP(A39,GALLON55CONC[],6,FALSE)*$C$3*PickleballConc[[#This Row],[Column2]]),0)))))</f>
        <v>72</v>
      </c>
      <c r="D39" s="61">
        <f>ROUNDUP(SUM(PickleballConc[[#This Row],[Column3]]/IF(Calculator!$A$2=1,5,IF(Calculator!$A$2=2,30,IF(Calculator!$A$2=3,55,"")))),0)</f>
        <v>2</v>
      </c>
      <c r="E39" s="39" t="str">
        <f>VLOOKUP(A39,GALLON55CONC[],2,0)&amp;IF(Calculator!$A$2=1,"P",IF(Calculator!$A$2=2,"K",IF(Calculator!$A$2=3,"D","")))</f>
        <v>C1450D</v>
      </c>
    </row>
    <row r="40" spans="1:5" ht="24.95" customHeight="1" x14ac:dyDescent="0.25">
      <c r="A40" s="68" t="s">
        <v>43</v>
      </c>
      <c r="B40" s="69" t="s">
        <v>27</v>
      </c>
      <c r="C40" s="69" t="s">
        <v>28</v>
      </c>
      <c r="D40" s="61"/>
      <c r="E40" s="60" t="s">
        <v>30</v>
      </c>
    </row>
    <row r="41" spans="1:5" ht="24.95" customHeight="1" x14ac:dyDescent="0.25">
      <c r="A41" s="47" t="s">
        <v>44</v>
      </c>
      <c r="B41" s="70">
        <v>1</v>
      </c>
      <c r="C41" s="70">
        <f>ROUNDUP(CEILING(B4/2, 1),0)</f>
        <v>1</v>
      </c>
      <c r="D41" s="61">
        <f>PickleballConc[[#This Row],[Column3]]</f>
        <v>1</v>
      </c>
      <c r="E41" s="39" t="str">
        <f>VLOOKUP(A41,GALLON55CONC[],2,0)</f>
        <v>C1610G</v>
      </c>
    </row>
    <row r="42" spans="1:5" ht="24.95" customHeight="1" x14ac:dyDescent="0.25">
      <c r="A42" s="47" t="s">
        <v>45</v>
      </c>
      <c r="B42" s="70">
        <v>1</v>
      </c>
      <c r="C42" s="70">
        <f>ROUNDUP(CEILING(B4/2, 1),0)</f>
        <v>1</v>
      </c>
      <c r="D42" s="61">
        <f>PickleballConc[[#This Row],[Column3]]</f>
        <v>1</v>
      </c>
      <c r="E42" s="39" t="str">
        <f>VLOOKUP(A42,GALLON55CONC[],2,0)</f>
        <v>C1620G</v>
      </c>
    </row>
    <row r="43" spans="1:5" ht="24.95" customHeight="1" x14ac:dyDescent="0.25">
      <c r="A43" s="68" t="s">
        <v>46</v>
      </c>
      <c r="B43" s="69" t="s">
        <v>47</v>
      </c>
      <c r="C43" s="39"/>
      <c r="D43" s="39"/>
      <c r="E43" s="39"/>
    </row>
    <row r="44" spans="1:5" ht="24.95" customHeight="1" x14ac:dyDescent="0.25">
      <c r="A44" s="47" t="s">
        <v>48</v>
      </c>
      <c r="B44" s="73">
        <f>ROUNDUP(SUM(4*B4),0)</f>
        <v>8</v>
      </c>
      <c r="C44" s="39"/>
      <c r="D44" s="39"/>
      <c r="E44" s="39"/>
    </row>
  </sheetData>
  <sheetProtection algorithmName="SHA-512" hashValue="wahN6lPK0uToKc+Do50LJjVwn7XsR7q4hDOQOFFzoxxd7xz41DZXkHhb1eWw8j3hzvH/+sooYwuWcwhNyZ53Qg==" saltValue="wyjx9V9Zh5XsFHIulJV3yQ==" spinCount="100000" sheet="1" formatCells="0" formatColumns="0" formatRows="0" insertColumns="0" insertRows="0" insertHyperlinks="0" deleteColumns="0" deleteRows="0" sort="0" autoFilter="0" pivotTables="0"/>
  <phoneticPr fontId="9" type="noConversion"/>
  <conditionalFormatting sqref="B3">
    <cfRule type="cellIs" dxfId="78" priority="1" operator="equal">
      <formula>0</formula>
    </cfRule>
  </conditionalFormatting>
  <dataValidations count="1">
    <dataValidation type="list" allowBlank="1" showInputMessage="1" showErrorMessage="1" sqref="A1:C1 C3:C4" xr:uid="{2580D787-F813-4E9B-8EA1-4D90A5BBAF26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BAC06-13A3-4B55-BD05-77BAA0B2D990}">
  <sheetPr codeName="Sheet16"/>
  <dimension ref="A1:E59"/>
  <sheetViews>
    <sheetView topLeftCell="A31" zoomScale="80" zoomScaleNormal="80" workbookViewId="0">
      <selection activeCell="D25" sqref="D25"/>
    </sheetView>
  </sheetViews>
  <sheetFormatPr defaultRowHeight="15" x14ac:dyDescent="0.25"/>
  <cols>
    <col min="1" max="1" width="40.7109375" customWidth="1"/>
    <col min="2" max="2" width="25" bestFit="1" customWidth="1"/>
    <col min="3" max="3" width="27.28515625" bestFit="1" customWidth="1"/>
    <col min="4" max="4" width="28.7109375" bestFit="1" customWidth="1"/>
    <col min="5" max="5" width="12.85546875" bestFit="1" customWidth="1"/>
  </cols>
  <sheetData>
    <row r="1" spans="1:5" ht="30" customHeight="1" thickBot="1" x14ac:dyDescent="0.3">
      <c r="A1" s="41"/>
      <c r="B1" s="42"/>
      <c r="C1" s="43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5" ht="24.95" customHeight="1" thickBot="1" x14ac:dyDescent="0.3">
      <c r="A3" s="46" t="s">
        <v>8</v>
      </c>
      <c r="B3" s="62">
        <f>IF(Calculator!$A$5=1,SUM(Calculator!C5*Calculator!C6),IF(Calculator!$A$5=2,Calculator!C5,IF(Calculator!$A$5=3,SUM(Calculator!C5*9),IF(Calculator!$A$5=4,SUM(Calculator!C5*10.7639),""))))</f>
        <v>3200</v>
      </c>
      <c r="C3" s="56">
        <f>SUM(FULLBBALLREADY[[#This Row],[Column2]]/9)</f>
        <v>355.55555555555554</v>
      </c>
    </row>
    <row r="4" spans="1:5" ht="24.95" customHeight="1" thickBot="1" x14ac:dyDescent="0.3">
      <c r="A4" s="46" t="s">
        <v>9</v>
      </c>
      <c r="B4" s="65">
        <f>Calculator!C9</f>
        <v>1</v>
      </c>
      <c r="C4" s="56"/>
    </row>
    <row r="5" spans="1:5" ht="24.95" customHeight="1" thickBot="1" x14ac:dyDescent="0.3">
      <c r="A5" s="46" t="s">
        <v>66</v>
      </c>
      <c r="B5" s="62">
        <f>ROUNDUP(SUM(4200*B4),0)</f>
        <v>4200</v>
      </c>
      <c r="C5" s="56">
        <f>SUM(FULLBBALLREADY[[#This Row],[Column2]]/9)</f>
        <v>466.66666666666669</v>
      </c>
    </row>
    <row r="6" spans="1:5" ht="24.95" customHeight="1" thickBot="1" x14ac:dyDescent="0.3">
      <c r="A6" s="46" t="s">
        <v>67</v>
      </c>
      <c r="B6" s="62">
        <f>MAX(0,(B3-B5))</f>
        <v>0</v>
      </c>
      <c r="C6" s="56">
        <f>SUM(FULLBBALLREADY[[#This Row],[Column2]]/9)</f>
        <v>0</v>
      </c>
    </row>
    <row r="7" spans="1:5" ht="24.95" customHeight="1" thickBot="1" x14ac:dyDescent="0.3">
      <c r="A7" s="46" t="s">
        <v>68</v>
      </c>
      <c r="B7" s="62">
        <f>ROUNDUP(SUM(1224*B4),0)</f>
        <v>1224</v>
      </c>
      <c r="C7" s="56">
        <f>SUM(FULLBBALLREADY[[#This Row],[Column2]]/9)</f>
        <v>136</v>
      </c>
    </row>
    <row r="8" spans="1:5" ht="24.95" customHeight="1" thickBot="1" x14ac:dyDescent="0.3">
      <c r="A8" s="47" t="s">
        <v>69</v>
      </c>
      <c r="B8" s="63">
        <f>ROUNDUP(SUM(456*B4),0)</f>
        <v>456</v>
      </c>
      <c r="C8" s="56">
        <f>SUM(FULLBBALLREADY[[#This Row],[Column2]]/9)</f>
        <v>50.666666666666664</v>
      </c>
    </row>
    <row r="9" spans="1:5" ht="24.95" customHeight="1" x14ac:dyDescent="0.25">
      <c r="A9" s="51" t="s">
        <v>70</v>
      </c>
      <c r="B9" s="64">
        <f>ROUNDUP(SUM(113*B4),0)</f>
        <v>113</v>
      </c>
      <c r="C9" s="56">
        <f>SUM(FULLBBALLREADY[[#This Row],[Column2]]/9)</f>
        <v>12.555555555555555</v>
      </c>
    </row>
    <row r="10" spans="1:5" ht="24.95" customHeight="1" x14ac:dyDescent="0.25">
      <c r="A10" s="47" t="s">
        <v>71</v>
      </c>
      <c r="B10" s="74">
        <f>ROUNDUP(SUM(113*B4),0)</f>
        <v>113</v>
      </c>
      <c r="C10" s="75">
        <f>SUM(FULLBBALLREADY[[#This Row],[Column2]]/9)</f>
        <v>12.555555555555555</v>
      </c>
    </row>
    <row r="11" spans="1:5" ht="24.95" customHeight="1" thickBot="1" x14ac:dyDescent="0.3">
      <c r="A11" s="68" t="s">
        <v>12</v>
      </c>
      <c r="B11" s="69" t="s">
        <v>13</v>
      </c>
      <c r="C11" s="80" t="s">
        <v>14</v>
      </c>
      <c r="D11" s="60" t="s">
        <v>15</v>
      </c>
    </row>
    <row r="12" spans="1:5" ht="24.95" customHeight="1" thickBot="1" x14ac:dyDescent="0.3">
      <c r="A12" s="46" t="s">
        <v>16</v>
      </c>
      <c r="B12" s="79" t="s">
        <v>17</v>
      </c>
      <c r="C12" s="54" t="s">
        <v>18</v>
      </c>
      <c r="D12" s="39" t="s">
        <v>19</v>
      </c>
    </row>
    <row r="13" spans="1:5" ht="24.95" customHeight="1" thickBot="1" x14ac:dyDescent="0.3">
      <c r="A13" s="46" t="s">
        <v>20</v>
      </c>
      <c r="B13" s="79" t="s">
        <v>17</v>
      </c>
      <c r="C13" s="54" t="s">
        <v>21</v>
      </c>
      <c r="D13" s="39" t="s">
        <v>22</v>
      </c>
    </row>
    <row r="14" spans="1:5" ht="24.95" customHeight="1" thickBot="1" x14ac:dyDescent="0.3">
      <c r="A14" s="46" t="s">
        <v>23</v>
      </c>
      <c r="B14" s="79" t="s">
        <v>24</v>
      </c>
      <c r="C14" s="54" t="s">
        <v>21</v>
      </c>
      <c r="D14" s="39" t="s">
        <v>25</v>
      </c>
    </row>
    <row r="15" spans="1:5" ht="24.95" customHeight="1" thickBot="1" x14ac:dyDescent="0.3">
      <c r="A15" s="76" t="s">
        <v>26</v>
      </c>
      <c r="B15" s="69" t="s">
        <v>27</v>
      </c>
      <c r="C15" s="69" t="s">
        <v>28</v>
      </c>
      <c r="D15" s="67" t="s">
        <v>29</v>
      </c>
      <c r="E15" s="60" t="s">
        <v>30</v>
      </c>
    </row>
    <row r="16" spans="1:5" ht="24.95" customHeight="1" thickBot="1" x14ac:dyDescent="0.3">
      <c r="A16" s="46" t="s">
        <v>31</v>
      </c>
      <c r="B16" s="70" t="str">
        <f>IF(OR(Calculator!$A$3=1,Calculator!$A$3=3),1,IF(OR(Calculator!$A$3=2,Calculator!$A$3=4),""))</f>
        <v/>
      </c>
      <c r="C16" s="71" t="str">
        <f>IFERROR(IF(Calculator!$A$3=1,ROUNDUP(SUM(VLOOKUP(A16,GALLON55READY[],3,FALSE)*$C$3*FULLBBALLREADY[[#This Row],[Column2]]),0),IF(Calculator!$A$3=2,ROUNDUP(SUM(VLOOKUP(A16,GALLON55READY[],4,FALSE)*$C$3*FULLBBALLREADY[[#This Row],[Column2]]),0),IF(Calculator!$A$3=3,ROUNDUP(SUM(VLOOKUP(A16,GALLON55READY[],5,FALSE)*$C$3*FULLBBALLREADY[[#This Row],[Column2]]),0),IF(Calculator!$A$3=4,ROUNDUP(SUM(VLOOKUP(A16,GALLON55READY[],6,FALSE)*$C$3*FULLBBALLREADY[[#This Row],[Column2]]),0))))),"")</f>
        <v/>
      </c>
      <c r="D16" s="82" t="str">
        <f>IFERROR(ROUNDUP(SUM(FULLBBALLREADY[[#This Row],[Column3]]/IF(Calculator!$A$2=1,5,IF(Calculator!$A$2=2,30,IF(Calculator!$A$2=3,55,"")))),0),"")</f>
        <v/>
      </c>
      <c r="E16" s="61" t="str">
        <f>VLOOKUP(A16,GALLON55READY[],2,0)&amp;IF(Calculator!$A$2=1,"P",IF(Calculator!$A$2=2,"K",IF(Calculator!$A$2=3,"D","")))</f>
        <v>C1650D</v>
      </c>
    </row>
    <row r="17" spans="1:5" ht="24.95" customHeight="1" x14ac:dyDescent="0.25">
      <c r="A17" s="77" t="s">
        <v>32</v>
      </c>
      <c r="B17" s="70">
        <f>IF(OR(Calculator!$A$3=3,Calculator!$A$3=4,Calculator!$A$3=1),1,IF(Calculator!$A$3=2,2,""))</f>
        <v>2</v>
      </c>
      <c r="C17" s="71">
        <f>IFERROR(IF(Calculator!$A$3=1,ROUNDUP(SUM(VLOOKUP(A17,GALLON55READY[],3,FALSE)*$C$3*FULLBBALLREADY[[#This Row],[Column2]]),0),IF(Calculator!$A$3=2,ROUNDUP(SUM(VLOOKUP(A17,GALLON55READY[],4,FALSE)*$C$3*FULLBBALLREADY[[#This Row],[Column2]]),0),IF(Calculator!$A$3=3,ROUNDUP(SUM(VLOOKUP(A17,GALLON55READY[],5,FALSE)*$C$3*FULLBBALLREADY[[#This Row],[Column2]]),0),IF(Calculator!$A$3=4,ROUNDUP(SUM(VLOOKUP(A17,GALLON55READY[],6,FALSE)*$C$3*FULLBBALLREADY[[#This Row],[Column2]]),0))))),"")</f>
        <v>93</v>
      </c>
      <c r="D17" s="61">
        <f>ROUNDUP(SUM(FULLBBALLREADY[[#This Row],[Column3]]/IF(Calculator!$A$2=1,5,IF(Calculator!$A$2=2,30,IF(Calculator!$A$2=3,55,"")))),0)</f>
        <v>2</v>
      </c>
      <c r="E17" s="61" t="str">
        <f>VLOOKUP(A17,GALLON55READY[],2,0)&amp;IF(Calculator!$A$2=1,"P",IF(Calculator!$A$2=2,"K",IF(Calculator!$A$2=3,"D","")))</f>
        <v>C1330D</v>
      </c>
    </row>
    <row r="18" spans="1:5" ht="24.95" customHeight="1" x14ac:dyDescent="0.25">
      <c r="A18" s="76" t="s">
        <v>72</v>
      </c>
      <c r="B18" s="69" t="s">
        <v>27</v>
      </c>
      <c r="C18" s="69" t="s">
        <v>28</v>
      </c>
      <c r="D18" s="67" t="s">
        <v>29</v>
      </c>
      <c r="E18" s="60" t="s">
        <v>30</v>
      </c>
    </row>
    <row r="19" spans="1:5" ht="24.95" customHeight="1" x14ac:dyDescent="0.25">
      <c r="A19" s="77" t="s">
        <v>34</v>
      </c>
      <c r="B19" s="70">
        <v>2</v>
      </c>
      <c r="C19" s="71">
        <f>IFERROR(IF(Calculator!$A$3=1,ROUNDUP(SUM(VLOOKUP(A19,GALLON55READY[],3,FALSE)*$C$5*FULLBBALLREADY[[#This Row],[Column2]]),0),IF(Calculator!$A$3=2,ROUNDUP(SUM(VLOOKUP(A19,GALLON55READY[],4,FALSE)*$C$5*FULLBBALLREADY[[#This Row],[Column2]]),0),IF(Calculator!$A$3=3,ROUNDUP(SUM(VLOOKUP(A19,GALLON55READY[],5,FALSE)*$C$5*FULLBBALLREADY[[#This Row],[Column2]]),0),IF(Calculator!$A$3=4,ROUNDUP(SUM(VLOOKUP(A19,GALLON55READY[],6,FALSE)*$C$5*FULLBBALLREADY[[#This Row],[Column2]]),0))))),"")</f>
        <v>84</v>
      </c>
      <c r="D19" s="61">
        <f>ROUNDUP(SUM(FULLBBALLREADY[[#This Row],[Column3]]/IF(Calculator!$A$2=1,5,IF(Calculator!$A$2=2,30,IF(Calculator!$A$2=3,55,"")))),0)</f>
        <v>2</v>
      </c>
      <c r="E19" s="61" t="str">
        <f>VLOOKUP(A19,GALLON55READY[],2,0)&amp;IF(Calculator!$A$2=1,"P",IF(Calculator!$A$2=2,"K",IF(Calculator!$A$2=3,"D","")))</f>
        <v>C1365D</v>
      </c>
    </row>
    <row r="20" spans="1:5" ht="24.95" customHeight="1" x14ac:dyDescent="0.25">
      <c r="A20" s="47" t="str">
        <f>Calculator!$B$22</f>
        <v>Light Blue ColorPlus</v>
      </c>
      <c r="B20" s="70"/>
      <c r="C20" s="71"/>
      <c r="D20" s="61" t="str">
        <f>IF(Calculator!$A$2=1,(D19*2),IF(Calculator!$A$2=2,(D19*2),IF(Calculator!$A$2=3,(D19*4),"")))&amp;IF(OR(Calculator!$A$2=2,Calculator!$A$2=3)," - 1 Gallon Pail(s)",IF(Calculator!$A$2=1," - 24 OZ Jar(s)"))</f>
        <v>8 - 1 Gallon Pail(s)</v>
      </c>
      <c r="E20" s="61" t="str">
        <f>IFERROR(IF(Calculator!$A$2=1,VLOOKUP(FULLBBALLREADY[[#This Row],[Column1]],OZ_JARS[],2,0),IF(OR(Calculator!$A$2=2,Calculator!$A$2=3),VLOOKUP(FULLBBALLREADY[[#This Row],[Column1]],'1 GALLON'!A2:G19,2,0),"")),"")</f>
        <v>C1385G</v>
      </c>
    </row>
    <row r="21" spans="1:5" ht="24.95" customHeight="1" x14ac:dyDescent="0.25">
      <c r="A21" s="77" t="s">
        <v>36</v>
      </c>
      <c r="B21" s="70">
        <v>2</v>
      </c>
      <c r="C21" s="71">
        <f>IFERROR(IF(Calculator!$A$3=1,ROUNDUP(SUM(VLOOKUP(A21,GALLON55READY[],3,FALSE)*$C$5*FULLBBALLREADY[[#This Row],[Column2]]),0),IF(Calculator!$A$3=2,ROUNDUP(SUM(VLOOKUP(A21,GALLON55READY[],4,FALSE)*$C$5*FULLBBALLREADY[[#This Row],[Column2]]),0),IF(Calculator!$A$3=3,ROUNDUP(SUM(VLOOKUP(A21,GALLON55READY[],5,FALSE)*$C$5*FULLBBALLREADY[[#This Row],[Column2]]),0),IF(Calculator!$A$3=4,ROUNDUP(SUM(VLOOKUP(A21,GALLON55READY[],6,FALSE)*$C$5*FULLBBALLREADY[[#This Row],[Column2]]),0))))),"")</f>
        <v>103</v>
      </c>
      <c r="D21" s="61">
        <f>ROUNDUP(SUM(FULLBBALLREADY[[#This Row],[Column3]]/5),0)</f>
        <v>21</v>
      </c>
      <c r="E21" s="61" t="str">
        <f>VLOOKUP(A21,GALLON55READY[],2,0)</f>
        <v>C1285P</v>
      </c>
    </row>
    <row r="22" spans="1:5" ht="24.95" customHeight="1" x14ac:dyDescent="0.25">
      <c r="A22" s="47" t="str">
        <f>Calculator!$B$22</f>
        <v>Light Blue ColorPlus</v>
      </c>
      <c r="B22" s="70"/>
      <c r="C22" s="71"/>
      <c r="D22" s="61" t="str">
        <f>SUM(D21*1)&amp; IF(OR(A21="Ready-Mix Color",A21="PickleMaster RTU")," - 24 OZ Jar(s)","")</f>
        <v>21 - 24 OZ Jar(s)</v>
      </c>
      <c r="E22" s="61" t="str">
        <f>IFERROR(IF(OR(A21="Ready-Mix Color",A21="PickleMaster RTU"),VLOOKUP(FULLBBALLREADY[[#This Row],[Column1]],OZ_JARS[],2,0)),"")</f>
        <v>C1385J</v>
      </c>
    </row>
    <row r="23" spans="1:5" ht="24.95" customHeight="1" x14ac:dyDescent="0.25">
      <c r="A23" s="76" t="s">
        <v>73</v>
      </c>
      <c r="B23" s="69" t="s">
        <v>27</v>
      </c>
      <c r="C23" s="69" t="s">
        <v>28</v>
      </c>
      <c r="D23" s="67" t="s">
        <v>29</v>
      </c>
      <c r="E23" s="60" t="s">
        <v>30</v>
      </c>
    </row>
    <row r="24" spans="1:5" ht="24.95" customHeight="1" x14ac:dyDescent="0.25">
      <c r="A24" s="77" t="s">
        <v>34</v>
      </c>
      <c r="B24" s="70">
        <v>2</v>
      </c>
      <c r="C24" s="71">
        <f>IFERROR(IF(Calculator!$A$3=1,ROUNDUP(SUM(VLOOKUP(A24,GALLON55READY[],3,FALSE)*$C$6*FULLBBALLREADY[[#This Row],[Column2]]),0),IF(Calculator!$A$3=2,ROUNDUP(SUM(VLOOKUP(A24,GALLON55READY[],4,FALSE)*$C$6*FULLBBALLREADY[[#This Row],[Column2]]),0),IF(Calculator!$A$3=3,ROUNDUP(SUM(VLOOKUP(A24,GALLON55READY[],5,FALSE)*$C$6*FULLBBALLREADY[[#This Row],[Column2]]),0),IF(Calculator!$A$3=4,ROUNDUP(SUM(VLOOKUP(A24,GALLON55READY[],6,FALSE)*$C$6*FULLBBALLREADY[[#This Row],[Column2]]),0))))),"")</f>
        <v>0</v>
      </c>
      <c r="D24" s="61">
        <f>ROUNDUP(SUM(FULLBBALLREADY[[#This Row],[Column3]]/IF(Calculator!$A$2=1,5,IF(Calculator!$A$2=2,30,IF(Calculator!$A$2=3,55,"")))),0)</f>
        <v>0</v>
      </c>
      <c r="E24" s="61" t="str">
        <f>VLOOKUP(A24,GALLON55READY[],2,0)&amp;IF(Calculator!$A$2=1,"P",IF(Calculator!$A$2=2,"K",IF(Calculator!$A$2=3,"D","")))</f>
        <v>C1365D</v>
      </c>
    </row>
    <row r="25" spans="1:5" ht="24.95" customHeight="1" x14ac:dyDescent="0.25">
      <c r="A25" s="47" t="str">
        <f>Calculator!$B$24</f>
        <v>Blue ColorPlus</v>
      </c>
      <c r="B25" s="70"/>
      <c r="C25" s="71"/>
      <c r="D25" s="61" t="str">
        <f>IF(Calculator!$A$2=1,(D24*2),IF(Calculator!$A$2=2,(D24*2),IF(Calculator!$A$2=3,(D24*4),"")))&amp;IF(OR(Calculator!$A$2=2,Calculator!$A$2=3)," - 1 Gallon Pail(s)",IF(Calculator!$A$2=1," - 24 OZ Jar(s)"))</f>
        <v>0 - 1 Gallon Pail(s)</v>
      </c>
      <c r="E25" s="61" t="str">
        <f>IFERROR(IF(Calculator!$A$2=1,VLOOKUP(FULLBBALLREADY[[#This Row],[Column1]],OZ_JARS[],2,0),IF(OR(Calculator!$A$2=2,Calculator!$A$2=3),VLOOKUP(FULLBBALLREADY[[#This Row],[Column1]],'1 GALLON'!A2:G19,2,0),"")),"")</f>
        <v>C1384G</v>
      </c>
    </row>
    <row r="26" spans="1:5" ht="24.95" customHeight="1" x14ac:dyDescent="0.25">
      <c r="A26" s="77" t="s">
        <v>36</v>
      </c>
      <c r="B26" s="70">
        <v>2</v>
      </c>
      <c r="C26" s="71">
        <f>IFERROR(IF(Calculator!$A$3=1,ROUNDUP(SUM(VLOOKUP(A26,GALLON55READY[],3,FALSE)*$C$6*FULLBBALLREADY[[#This Row],[Column2]]),0),IF(Calculator!$A$3=2,ROUNDUP(SUM(VLOOKUP(A26,GALLON55READY[],4,FALSE)*$C$6*FULLBBALLREADY[[#This Row],[Column2]]),0),IF(Calculator!$A$3=3,ROUNDUP(SUM(VLOOKUP(A26,GALLON55READY[],5,FALSE)*$C$6*FULLBBALLREADY[[#This Row],[Column2]]),0),IF(Calculator!$A$3=4,ROUNDUP(SUM(VLOOKUP(A26,GALLON55READY[],6,FALSE)*$C$6*FULLBBALLREADY[[#This Row],[Column2]]),0))))),"")</f>
        <v>0</v>
      </c>
      <c r="D26" s="61">
        <f>ROUNDUP(SUM(FULLBBALLREADY[[#This Row],[Column3]]/5),0)</f>
        <v>0</v>
      </c>
      <c r="E26" s="61" t="str">
        <f>VLOOKUP(A26,GALLON55READY[],2,0)</f>
        <v>C1285P</v>
      </c>
    </row>
    <row r="27" spans="1:5" ht="24.95" customHeight="1" x14ac:dyDescent="0.25">
      <c r="A27" s="47" t="str">
        <f>Calculator!$B$24</f>
        <v>Blue ColorPlus</v>
      </c>
      <c r="B27" s="70"/>
      <c r="C27" s="71"/>
      <c r="D27" s="61" t="str">
        <f>SUM(D26*1)&amp; IF(OR(A26="Ready-Mix Color",A26="PickleMaster RTU")," - 24 OZ Jar(s)","")</f>
        <v>0 - 24 OZ Jar(s)</v>
      </c>
      <c r="E27" s="61" t="str">
        <f>IFERROR(IF(OR(A26="Ready-Mix Color",A26="PickleMaster RTU"),VLOOKUP(FULLBBALLREADY[[#This Row],[Column1]],OZ_JARS[],2,0)),"")</f>
        <v>C1384J</v>
      </c>
    </row>
    <row r="28" spans="1:5" ht="24.95" customHeight="1" x14ac:dyDescent="0.25">
      <c r="A28" s="76" t="s">
        <v>74</v>
      </c>
      <c r="B28" s="69" t="s">
        <v>27</v>
      </c>
      <c r="C28" s="69" t="s">
        <v>28</v>
      </c>
      <c r="D28" s="67" t="s">
        <v>29</v>
      </c>
      <c r="E28" s="60" t="s">
        <v>30</v>
      </c>
    </row>
    <row r="29" spans="1:5" ht="24.95" customHeight="1" x14ac:dyDescent="0.25">
      <c r="A29" s="77" t="s">
        <v>34</v>
      </c>
      <c r="B29" s="70">
        <v>2</v>
      </c>
      <c r="C29" s="71">
        <f>IFERROR(IF(Calculator!$A$3=1,ROUNDUP(SUM(VLOOKUP(A29,GALLON55READY[],3,FALSE)*$C$7*FULLBBALLREADY[[#This Row],[Column2]]),0),IF(Calculator!$A$3=2,ROUNDUP(SUM(VLOOKUP(A29,GALLON55READY[],4,FALSE)*$C$7*FULLBBALLREADY[[#This Row],[Column2]]),0),IF(Calculator!$A$3=3,ROUNDUP(SUM(VLOOKUP(A29,GALLON55READY[],5,FALSE)*$C$7*FULLBBALLREADY[[#This Row],[Column2]]),0),IF(Calculator!$A$3=4,ROUNDUP(SUM(VLOOKUP(A29,GALLON55READY[],6,FALSE)*$C$7*FULLBBALLREADY[[#This Row],[Column2]]),0))))),"")</f>
        <v>25</v>
      </c>
      <c r="D29" s="61">
        <f>ROUNDUP(SUM(FULLBBALLREADY[[#This Row],[Column3]]/IF(Calculator!$A$2=1,5,IF(Calculator!$A$2=2,30,IF(Calculator!$A$2=3,55,"")))),0)</f>
        <v>1</v>
      </c>
      <c r="E29" s="61" t="str">
        <f>VLOOKUP(A29,GALLON55READY[],2,0)&amp;IF(Calculator!$A$2=1,"P",IF(Calculator!$A$2=2,"K",IF(Calculator!$A$2=3,"D","")))</f>
        <v>C1365D</v>
      </c>
    </row>
    <row r="30" spans="1:5" ht="24.95" customHeight="1" x14ac:dyDescent="0.25">
      <c r="A30" s="47" t="str">
        <f>Calculator!$B$26</f>
        <v>Blue ColorPlus</v>
      </c>
      <c r="B30" s="70"/>
      <c r="C30" s="71"/>
      <c r="D30" s="61" t="str">
        <f>IF(Calculator!$A$2=1,(D29*2),IF(Calculator!$A$2=2,(D29*2),IF(Calculator!$A$2=3,(D29*4),"")))&amp;IF(OR(Calculator!$A$2=2,Calculator!$A$2=3)," - 1 Gallon Pail(s)",IF(Calculator!$A$2=1," - 24 OZ Jar(s)"))</f>
        <v>4 - 1 Gallon Pail(s)</v>
      </c>
      <c r="E30" s="61" t="str">
        <f>IFERROR(IF(Calculator!$A$2=1,VLOOKUP(FULLBBALLREADY[[#This Row],[Column1]],OZ_JARS[],2,0),IF(OR(Calculator!$A$2=2,Calculator!$A$2=3),VLOOKUP(FULLBBALLREADY[[#This Row],[Column1]],'1 GALLON'!A2:G19,2,0),"")),"")</f>
        <v>C1384G</v>
      </c>
    </row>
    <row r="31" spans="1:5" ht="24.95" customHeight="1" x14ac:dyDescent="0.25">
      <c r="A31" s="77" t="s">
        <v>36</v>
      </c>
      <c r="B31" s="70">
        <v>2</v>
      </c>
      <c r="C31" s="71">
        <f>IFERROR(IF(Calculator!$A$3=1,ROUNDUP(SUM(VLOOKUP(A31,GALLON55READY[],3,FALSE)*$C$7*FULLBBALLREADY[[#This Row],[Column2]]),0),IF(Calculator!$A$3=2,ROUNDUP(SUM(VLOOKUP(A31,GALLON55READY[],4,FALSE)*$C$7*FULLBBALLREADY[[#This Row],[Column2]]),0),IF(Calculator!$A$3=3,ROUNDUP(SUM(VLOOKUP(A31,GALLON55READY[],5,FALSE)*$C$7*FULLBBALLREADY[[#This Row],[Column2]]),0),IF(Calculator!$A$3=4,ROUNDUP(SUM(VLOOKUP(A31,GALLON55READY[],6,FALSE)*$C$7*FULLBBALLREADY[[#This Row],[Column2]]),0))))),"")</f>
        <v>30</v>
      </c>
      <c r="D31" s="61">
        <f>ROUNDUP(SUM(FULLBBALLREADY[[#This Row],[Column3]]/5),0)</f>
        <v>6</v>
      </c>
      <c r="E31" s="61" t="str">
        <f>VLOOKUP(A31,GALLON55READY[],2,0)</f>
        <v>C1285P</v>
      </c>
    </row>
    <row r="32" spans="1:5" ht="24.95" customHeight="1" x14ac:dyDescent="0.25">
      <c r="A32" s="47" t="str">
        <f>Calculator!$B$26</f>
        <v>Blue ColorPlus</v>
      </c>
      <c r="B32" s="70"/>
      <c r="C32" s="71"/>
      <c r="D32" s="61" t="str">
        <f>SUM(D31*1)&amp; IF(OR(A31="Ready-Mix Color",A31="PickleMaster RTU")," - 24 OZ Jar(s)","")</f>
        <v>6 - 24 OZ Jar(s)</v>
      </c>
      <c r="E32" s="61" t="str">
        <f>IFERROR(IF(OR(A31="Ready-Mix Color",A31="PickleMaster RTU"),VLOOKUP(FULLBBALLREADY[[#This Row],[Column1]],OZ_JARS[],2,0)),"")</f>
        <v>C1384J</v>
      </c>
    </row>
    <row r="33" spans="1:5" ht="24.95" customHeight="1" x14ac:dyDescent="0.25">
      <c r="A33" s="76" t="s">
        <v>75</v>
      </c>
      <c r="B33" s="69" t="s">
        <v>27</v>
      </c>
      <c r="C33" s="69" t="s">
        <v>28</v>
      </c>
      <c r="D33" s="67" t="s">
        <v>29</v>
      </c>
      <c r="E33" s="60" t="s">
        <v>30</v>
      </c>
    </row>
    <row r="34" spans="1:5" ht="24.95" customHeight="1" x14ac:dyDescent="0.25">
      <c r="A34" s="77" t="s">
        <v>34</v>
      </c>
      <c r="B34" s="70">
        <v>2</v>
      </c>
      <c r="C34" s="71">
        <f>IFERROR(IF(Calculator!$A$3=1,ROUNDUP(SUM(VLOOKUP(A34,GALLON55READY[],3,FALSE)*$C$8*FULLBBALLREADY[[#This Row],[Column2]]),0),IF(Calculator!$A$3=2,ROUNDUP(SUM(VLOOKUP(A34,GALLON55READY[],4,FALSE)*$C$8*FULLBBALLREADY[[#This Row],[Column2]]),0),IF(Calculator!$A$3=3,ROUNDUP(SUM(VLOOKUP(A34,GALLON55READY[],5,FALSE)*$C$8*FULLBBALLREADY[[#This Row],[Column2]]),0),IF(Calculator!$A$3=4,ROUNDUP(SUM(VLOOKUP(A34,GALLON55READY[],6,FALSE)*$C$8*FULLBBALLREADY[[#This Row],[Column2]]),0))))),"")</f>
        <v>10</v>
      </c>
      <c r="D34" s="61">
        <f>ROUNDUP(SUM(FULLBBALLREADY[[#This Row],[Column3]]/IF(Calculator!$A$2=1,5,IF(Calculator!$A$2=2,30,IF(Calculator!$A$2=3,55,"")))),0)</f>
        <v>1</v>
      </c>
      <c r="E34" s="61" t="str">
        <f>VLOOKUP(A34,GALLON55READY[],2,0)&amp;IF(Calculator!$A$2=1,"P",IF(Calculator!$A$2=2,"K",IF(Calculator!$A$2=3,"D","")))</f>
        <v>C1365D</v>
      </c>
    </row>
    <row r="35" spans="1:5" ht="24.95" customHeight="1" x14ac:dyDescent="0.25">
      <c r="A35" s="47" t="str">
        <f>Calculator!$B$28</f>
        <v>Light Blue ColorPlus</v>
      </c>
      <c r="B35" s="70"/>
      <c r="C35" s="71"/>
      <c r="D35" s="61" t="str">
        <f>IF(Calculator!$A$2=1,(D34*2),IF(Calculator!$A$2=2,(D34*2),IF(Calculator!$A$2=3,(D34*4),"")))&amp;IF(OR(Calculator!$A$2=2,Calculator!$A$2=3)," - 1 Gallon Pail(s)",IF(Calculator!$A$2=1," - 24 OZ Jar(s)"))</f>
        <v>4 - 1 Gallon Pail(s)</v>
      </c>
      <c r="E35" s="61" t="str">
        <f>IFERROR(IF(Calculator!$A$2=1,VLOOKUP(FULLBBALLREADY[[#This Row],[Column1]],OZ_JARS[],2,0),IF(OR(Calculator!$A$2=2,Calculator!$A$2=3),VLOOKUP(FULLBBALLREADY[[#This Row],[Column1]],'1 GALLON'!A2:G19,2,0),"")),"")</f>
        <v>C1385G</v>
      </c>
    </row>
    <row r="36" spans="1:5" ht="24.95" customHeight="1" x14ac:dyDescent="0.25">
      <c r="A36" s="77" t="s">
        <v>36</v>
      </c>
      <c r="B36" s="70">
        <v>2</v>
      </c>
      <c r="C36" s="71">
        <f>IFERROR(IF(Calculator!$A$3=1,ROUNDUP(SUM(VLOOKUP(A36,GALLON55READY[],3,FALSE)*$C$8*FULLBBALLREADY[[#This Row],[Column2]]),0),IF(Calculator!$A$3=2,ROUNDUP(SUM(VLOOKUP(A36,GALLON55READY[],4,FALSE)*$C$8*FULLBBALLREADY[[#This Row],[Column2]]),0),IF(Calculator!$A$3=3,ROUNDUP(SUM(VLOOKUP(A36,GALLON55READY[],5,FALSE)*$C$8*FULLBBALLREADY[[#This Row],[Column2]]),0),IF(Calculator!$A$3=4,ROUNDUP(SUM(VLOOKUP(A36,GALLON55READY[],6,FALSE)*$C$8*FULLBBALLREADY[[#This Row],[Column2]]),0))))),"")</f>
        <v>12</v>
      </c>
      <c r="D36" s="61">
        <f>ROUNDUP(SUM(FULLBBALLREADY[[#This Row],[Column3]]/5),0)</f>
        <v>3</v>
      </c>
      <c r="E36" s="61" t="str">
        <f>VLOOKUP(A36,GALLON55READY[],2,0)</f>
        <v>C1285P</v>
      </c>
    </row>
    <row r="37" spans="1:5" ht="24.95" customHeight="1" x14ac:dyDescent="0.25">
      <c r="A37" s="47" t="str">
        <f>Calculator!$B$28</f>
        <v>Light Blue ColorPlus</v>
      </c>
      <c r="B37" s="70"/>
      <c r="C37" s="71"/>
      <c r="D37" s="61" t="str">
        <f>SUM(D36*1)&amp; IF(OR(A36="Ready-Mix Color",A36="PickleMaster RTU")," - 24 OZ Jar(s)","")</f>
        <v>3 - 24 OZ Jar(s)</v>
      </c>
      <c r="E37" s="61" t="str">
        <f>IFERROR(IF(OR(A36="Ready-Mix Color",A36="PickleMaster RTU"),VLOOKUP(FULLBBALLREADY[[#This Row],[Column1]],OZ_JARS[],2,0)),"")</f>
        <v>C1385J</v>
      </c>
    </row>
    <row r="38" spans="1:5" ht="24.95" customHeight="1" x14ac:dyDescent="0.25">
      <c r="A38" s="76" t="s">
        <v>76</v>
      </c>
      <c r="B38" s="69" t="s">
        <v>27</v>
      </c>
      <c r="C38" s="69" t="s">
        <v>28</v>
      </c>
      <c r="D38" s="67" t="s">
        <v>29</v>
      </c>
      <c r="E38" s="60" t="s">
        <v>30</v>
      </c>
    </row>
    <row r="39" spans="1:5" ht="24.95" customHeight="1" x14ac:dyDescent="0.25">
      <c r="A39" s="77" t="s">
        <v>34</v>
      </c>
      <c r="B39" s="70">
        <v>2</v>
      </c>
      <c r="C39" s="71">
        <f>IFERROR(IF(Calculator!$A$3=1,ROUNDUP(SUM(VLOOKUP(A39,GALLON55READY[],3,FALSE)*$C$9*FULLBBALLREADY[[#This Row],[Column2]]),0),IF(Calculator!$A$3=2,ROUNDUP(SUM(VLOOKUP(A39,GALLON55READY[],4,FALSE)*$C$9*FULLBBALLREADY[[#This Row],[Column2]]),0),IF(Calculator!$A$3=3,ROUNDUP(SUM(VLOOKUP(A39,GALLON55READY[],5,FALSE)*$C$9*FULLBBALLREADY[[#This Row],[Column2]]),0),IF(Calculator!$A$3=4,ROUNDUP(SUM(VLOOKUP(A39,GALLON55READY[],6,FALSE)*$C$9*FULLBBALLREADY[[#This Row],[Column2]]),0))))),"")</f>
        <v>3</v>
      </c>
      <c r="D39" s="61">
        <f>ROUNDUP(SUM(FULLBBALLREADY[[#This Row],[Column3]]/IF(Calculator!$A$2=1,5,IF(Calculator!$A$2=2,30,IF(Calculator!$A$2=3,55,"")))),0)</f>
        <v>1</v>
      </c>
      <c r="E39" s="61" t="str">
        <f>VLOOKUP(A39,GALLON55READY[],2,0)&amp;IF(Calculator!$A$2=1,"P",IF(Calculator!$A$2=2,"K",IF(Calculator!$A$2=3,"D","")))</f>
        <v>C1365D</v>
      </c>
    </row>
    <row r="40" spans="1:5" ht="24.95" customHeight="1" x14ac:dyDescent="0.25">
      <c r="A40" s="47" t="str">
        <f>Calculator!$B$30</f>
        <v>Blue ColorPlus</v>
      </c>
      <c r="B40" s="70"/>
      <c r="C40" s="71"/>
      <c r="D40" s="61" t="str">
        <f>IF(Calculator!$A$2=1,(D39*2),IF(Calculator!$A$2=2,(D39*2),IF(Calculator!$A$2=3,(D39*4),"")))&amp;IF(OR(Calculator!$A$2=2,Calculator!$A$2=3)," - 1 Gallon Pail(s)",IF(Calculator!$A$2=1," - 24 OZ Jar(s)"))</f>
        <v>4 - 1 Gallon Pail(s)</v>
      </c>
      <c r="E40" s="61" t="str">
        <f>IFERROR(IF(Calculator!$A$2=1,VLOOKUP(FULLBBALLREADY[[#This Row],[Column1]],OZ_JARS[],2,0),IF(OR(Calculator!$A$2=2,Calculator!$A$2=3),VLOOKUP(FULLBBALLREADY[[#This Row],[Column1]],'1 GALLON'!A2:G19,2,0),"")),"")</f>
        <v>C1384G</v>
      </c>
    </row>
    <row r="41" spans="1:5" ht="24.95" customHeight="1" x14ac:dyDescent="0.25">
      <c r="A41" s="77" t="s">
        <v>36</v>
      </c>
      <c r="B41" s="70">
        <v>2</v>
      </c>
      <c r="C41" s="71">
        <f>IFERROR(IF(Calculator!$A$3=1,ROUNDUP(SUM(VLOOKUP(A41,GALLON55READY[],3,FALSE)*$C$9*FULLBBALLREADY[[#This Row],[Column2]]),0),IF(Calculator!$A$3=2,ROUNDUP(SUM(VLOOKUP(A41,GALLON55READY[],4,FALSE)*$C$9*FULLBBALLREADY[[#This Row],[Column2]]),0),IF(Calculator!$A$3=3,ROUNDUP(SUM(VLOOKUP(A41,GALLON55READY[],5,FALSE)*$C$9*FULLBBALLREADY[[#This Row],[Column2]]),0),IF(Calculator!$A$3=4,ROUNDUP(SUM(VLOOKUP(A41,GALLON55READY[],6,FALSE)*$C$9*FULLBBALLREADY[[#This Row],[Column2]]),0))))),"")</f>
        <v>3</v>
      </c>
      <c r="D41" s="61">
        <f>ROUNDUP(SUM(FULLBBALLREADY[[#This Row],[Column3]]/5),0)</f>
        <v>1</v>
      </c>
      <c r="E41" s="61" t="str">
        <f>VLOOKUP(A41,GALLON55READY[],2,0)</f>
        <v>C1285P</v>
      </c>
    </row>
    <row r="42" spans="1:5" ht="24.95" customHeight="1" x14ac:dyDescent="0.25">
      <c r="A42" s="47" t="str">
        <f>Calculator!$B$30</f>
        <v>Blue ColorPlus</v>
      </c>
      <c r="B42" s="70"/>
      <c r="C42" s="71"/>
      <c r="D42" s="61" t="str">
        <f>SUM(D41*1)&amp; IF(OR(A41="Ready-Mix Color",A41="PickleMaster RTU")," - 24 OZ Jar(s)","")</f>
        <v>1 - 24 OZ Jar(s)</v>
      </c>
      <c r="E42" s="61" t="str">
        <f>IFERROR(IF(OR(A41="Ready-Mix Color",A41="PickleMaster RTU"),VLOOKUP(FULLBBALLREADY[[#This Row],[Column1]],OZ_JARS[],2,0)),"")</f>
        <v>C1384J</v>
      </c>
    </row>
    <row r="43" spans="1:5" ht="24.95" customHeight="1" x14ac:dyDescent="0.25">
      <c r="A43" s="76" t="s">
        <v>77</v>
      </c>
      <c r="B43" s="69" t="s">
        <v>27</v>
      </c>
      <c r="C43" s="69" t="s">
        <v>28</v>
      </c>
      <c r="D43" s="67" t="s">
        <v>29</v>
      </c>
      <c r="E43" s="60" t="s">
        <v>30</v>
      </c>
    </row>
    <row r="44" spans="1:5" ht="24.95" customHeight="1" x14ac:dyDescent="0.25">
      <c r="A44" s="77" t="s">
        <v>34</v>
      </c>
      <c r="B44" s="70">
        <v>2</v>
      </c>
      <c r="C44" s="71">
        <f>IFERROR(IF(Calculator!$A$3=1,ROUNDUP(SUM(VLOOKUP(A44,GALLON55READY[],3,FALSE)*$C$10*FULLBBALLREADY[[#This Row],[Column2]]),0),IF(Calculator!$A$3=2,ROUNDUP(SUM(VLOOKUP(A44,GALLON55READY[],4,FALSE)*$C$10*FULLBBALLREADY[[#This Row],[Column2]]),0),IF(Calculator!$A$3=3,ROUNDUP(SUM(VLOOKUP(A44,GALLON55READY[],5,FALSE)*$C$10*FULLBBALLREADY[[#This Row],[Column2]]),0),IF(Calculator!$A$3=4,ROUNDUP(SUM(VLOOKUP(A44,GALLON55READY[],6,FALSE)*$C$10*FULLBBALLREADY[[#This Row],[Column2]]),0))))),"")</f>
        <v>3</v>
      </c>
      <c r="D44" s="61">
        <f>ROUNDUP(SUM(FULLBBALLREADY[[#This Row],[Column3]]/IF(Calculator!$A$2=1,5,IF(Calculator!$A$2=2,30,IF(Calculator!$A$2=3,55,"")))),0)</f>
        <v>1</v>
      </c>
      <c r="E44" s="61" t="str">
        <f>VLOOKUP(A44,GALLON55READY[],2,0)&amp;IF(Calculator!$A$2=1,"P",IF(Calculator!$A$2=2,"K",IF(Calculator!$A$2=3,"D","")))</f>
        <v>C1365D</v>
      </c>
    </row>
    <row r="45" spans="1:5" ht="24.95" customHeight="1" x14ac:dyDescent="0.25">
      <c r="A45" s="47" t="str">
        <f>Calculator!$B$32</f>
        <v>Blue ColorPlus</v>
      </c>
      <c r="B45" s="70"/>
      <c r="C45" s="71"/>
      <c r="D45" s="61" t="str">
        <f>IF(Calculator!$A$2=1,(D44*2),IF(Calculator!$A$2=2,(D44*2),IF(Calculator!$A$2=3,(D44*4),"")))&amp;IF(OR(Calculator!$A$2=2,Calculator!$A$2=3)," - 1 Gallon Pail(s)",IF(Calculator!$A$2=1," - 24 OZ Jar(s)"))</f>
        <v>4 - 1 Gallon Pail(s)</v>
      </c>
      <c r="E45" s="61" t="str">
        <f>IFERROR(IF(Calculator!$A$2=1,VLOOKUP(FULLBBALLREADY[[#This Row],[Column1]],OZ_JARS[],2,0),IF(OR(Calculator!$A$2=2,Calculator!$A$2=3),VLOOKUP(FULLBBALLREADY[[#This Row],[Column1]],'1 GALLON'!A2:G19,2,0),"")),"")</f>
        <v>C1384G</v>
      </c>
    </row>
    <row r="46" spans="1:5" ht="24.95" customHeight="1" x14ac:dyDescent="0.25">
      <c r="A46" s="77" t="s">
        <v>36</v>
      </c>
      <c r="B46" s="70">
        <v>2</v>
      </c>
      <c r="C46" s="71">
        <f>IFERROR(IF(Calculator!$A$3=1,ROUNDUP(SUM(VLOOKUP(A46,GALLON55READY[],3,FALSE)*$C$10*FULLBBALLREADY[[#This Row],[Column2]]),0),IF(Calculator!$A$3=2,ROUNDUP(SUM(VLOOKUP(A46,GALLON55READY[],4,FALSE)*$C$10*FULLBBALLREADY[[#This Row],[Column2]]),0),IF(Calculator!$A$3=3,ROUNDUP(SUM(VLOOKUP(A46,GALLON55READY[],5,FALSE)*$C$10*FULLBBALLREADY[[#This Row],[Column2]]),0),IF(Calculator!$A$3=4,ROUNDUP(SUM(VLOOKUP(A46,GALLON55READY[],6,FALSE)*$C$10*FULLBBALLREADY[[#This Row],[Column2]]),0))))),"")</f>
        <v>3</v>
      </c>
      <c r="D46" s="61">
        <f>ROUNDUP(SUM(FULLBBALLREADY[[#This Row],[Column3]]/5),0)</f>
        <v>1</v>
      </c>
      <c r="E46" s="61" t="str">
        <f>VLOOKUP(A46,GALLON55READY[],2,0)</f>
        <v>C1285P</v>
      </c>
    </row>
    <row r="47" spans="1:5" ht="24.95" customHeight="1" x14ac:dyDescent="0.25">
      <c r="A47" s="47" t="str">
        <f>Calculator!$B$32</f>
        <v>Blue ColorPlus</v>
      </c>
      <c r="B47" s="70"/>
      <c r="C47" s="71"/>
      <c r="D47" s="61" t="str">
        <f>SUM(D46*1)&amp; IF(OR(A46="Ready-Mix Color",A46="PickleMaster RTU")," - 24 OZ Jar(s)","")</f>
        <v>1 - 24 OZ Jar(s)</v>
      </c>
      <c r="E47" s="61" t="str">
        <f>IFERROR(IF(OR(A46="Ready-Mix Color",A46="PickleMaster RTU"),VLOOKUP(FULLBBALLREADY[[#This Row],[Column1]],OZ_JARS[],2,0)),"")</f>
        <v>C1384J</v>
      </c>
    </row>
    <row r="48" spans="1:5" ht="24.95" customHeight="1" x14ac:dyDescent="0.25">
      <c r="A48" s="76" t="s">
        <v>38</v>
      </c>
      <c r="B48" s="69" t="s">
        <v>27</v>
      </c>
      <c r="C48" s="69" t="s">
        <v>28</v>
      </c>
      <c r="D48" s="67" t="s">
        <v>29</v>
      </c>
      <c r="E48" s="60" t="s">
        <v>30</v>
      </c>
    </row>
    <row r="49" spans="1:5" ht="24.95" customHeight="1" x14ac:dyDescent="0.25">
      <c r="A49" s="76" t="s">
        <v>39</v>
      </c>
      <c r="B49" s="70"/>
      <c r="C49" s="39"/>
      <c r="D49" s="61"/>
      <c r="E49" s="61"/>
    </row>
    <row r="50" spans="1:5" ht="24.95" customHeight="1" x14ac:dyDescent="0.25">
      <c r="A50" s="77" t="s">
        <v>40</v>
      </c>
      <c r="B50" s="70">
        <v>3</v>
      </c>
      <c r="C50" s="71">
        <f>IFERROR(IF(Calculator!$A$3=1,ROUNDUP(SUM(VLOOKUP(A50,GALLON55READY[],3,FALSE)*$C$3*FULLBBALLREADY[[#This Row],[Column2]]),0),IF(Calculator!$A$3=2,ROUNDUP(SUM(VLOOKUP(A50,GALLON55READY[],4,FALSE)*$C$3*FULLBBALLREADY[[#This Row],[Column2]]),0),IF(Calculator!$A$3=3,ROUNDUP(SUM(VLOOKUP(A50,GALLON55READY[],5,FALSE)*$C$3*FULLBBALLREADY[[#This Row],[Column2]]),0),IF(Calculator!$A$3=4,ROUNDUP(SUM(VLOOKUP(A50,GALLON55READY[],6,FALSE)*$C$3*FULLBBALLREADY[[#This Row],[Column2]]),0))))),"")</f>
        <v>160</v>
      </c>
      <c r="D50" s="61">
        <f>ROUNDUP(SUM(FULLBBALLREADY[[#This Row],[Column3]]/IF(Calculator!$A$2=1,5,IF(Calculator!$A$2=2,30,IF(Calculator!$A$2=3,55,"")))),0)</f>
        <v>3</v>
      </c>
      <c r="E50" s="61" t="str">
        <f>VLOOKUP(A50,GALLON55READY[],2,0)&amp;IF(Calculator!$A$2=1,"P",IF(Calculator!$A$2=2,"K",IF(Calculator!$A$2=3,"D","")))</f>
        <v>C1460D</v>
      </c>
    </row>
    <row r="51" spans="1:5" ht="24.95" customHeight="1" x14ac:dyDescent="0.25">
      <c r="A51" s="77" t="s">
        <v>41</v>
      </c>
      <c r="B51" s="70">
        <v>2</v>
      </c>
      <c r="C51" s="71">
        <f>IFERROR(IF(Calculator!$A$3=1,ROUNDUP(SUM(VLOOKUP(A51,GALLON55READY[],3,FALSE)*$C$3*FULLBBALLREADY[[#This Row],[Column2]]),0),IF(Calculator!$A$3=2,ROUNDUP(SUM(VLOOKUP(A51,GALLON55READY[],4,FALSE)*$C$3*FULLBBALLREADY[[#This Row],[Column2]]),0),IF(Calculator!$A$3=3,ROUNDUP(SUM(VLOOKUP(A51,GALLON55READY[],5,FALSE)*$C$3*FULLBBALLREADY[[#This Row],[Column2]]),0),IF(Calculator!$A$3=4,ROUNDUP(SUM(VLOOKUP(A51,GALLON55READY[],6,FALSE)*$C$3*FULLBBALLREADY[[#This Row],[Column2]]),0))))),"")</f>
        <v>72</v>
      </c>
      <c r="D51" s="61">
        <f>ROUNDUP(SUM(FULLBBALLREADY[[#This Row],[Column3]]/IF(Calculator!$A$2=1,5,IF(Calculator!$A$2=2,30,IF(Calculator!$A$2=3,55,"")))),0)</f>
        <v>2</v>
      </c>
      <c r="E51" s="61" t="str">
        <f>VLOOKUP(A51,GALLON55READY[],2,0)&amp;IF(Calculator!$A$2=1,"P",IF(Calculator!$A$2=2,"K",IF(Calculator!$A$2=3,"D","")))</f>
        <v>C1450D</v>
      </c>
    </row>
    <row r="52" spans="1:5" ht="24.95" customHeight="1" x14ac:dyDescent="0.25">
      <c r="A52" s="76" t="s">
        <v>42</v>
      </c>
      <c r="B52" s="39"/>
      <c r="C52" s="39"/>
      <c r="D52" s="61"/>
      <c r="E52" s="61"/>
    </row>
    <row r="53" spans="1:5" ht="24.95" customHeight="1" x14ac:dyDescent="0.25">
      <c r="A53" s="77" t="s">
        <v>40</v>
      </c>
      <c r="B53" s="70">
        <v>5</v>
      </c>
      <c r="C53" s="71">
        <f>IFERROR(IF(Calculator!$A$3=1,ROUNDUP(SUM(VLOOKUP(A53,GALLON55READY[],3,FALSE)*$C$3*FULLBBALLREADY[[#This Row],[Column2]]),0),IF(Calculator!$A$3=2,ROUNDUP(SUM(VLOOKUP(A53,GALLON55READY[],4,FALSE)*$C$3*FULLBBALLREADY[[#This Row],[Column2]]),0),IF(Calculator!$A$3=3,ROUNDUP(SUM(VLOOKUP(A53,GALLON55READY[],5,FALSE)*$C$3*FULLBBALLREADY[[#This Row],[Column2]]),0),IF(Calculator!$A$3=4,ROUNDUP(SUM(VLOOKUP(A53,GALLON55READY[],6,FALSE)*$C$3*FULLBBALLREADY[[#This Row],[Column2]]),0))))),"")</f>
        <v>267</v>
      </c>
      <c r="D53" s="61">
        <f>ROUNDUP(SUM(FULLBBALLREADY[[#This Row],[Column3]]/IF(Calculator!$A$2=1,5,IF(Calculator!$A$2=2,30,IF(Calculator!$A$2=3,55,"")))),0)</f>
        <v>5</v>
      </c>
      <c r="E53" s="61" t="str">
        <f>VLOOKUP(A53,GALLON55READY[],2,0)&amp;IF(Calculator!$A$2=1,"P",IF(Calculator!$A$2=2,"K",IF(Calculator!$A$2=3,"D","")))</f>
        <v>C1460D</v>
      </c>
    </row>
    <row r="54" spans="1:5" ht="24.95" customHeight="1" x14ac:dyDescent="0.25">
      <c r="A54" s="77" t="s">
        <v>41</v>
      </c>
      <c r="B54" s="70">
        <v>2</v>
      </c>
      <c r="C54" s="71">
        <f>IFERROR(IF(Calculator!$A$3=1,ROUNDUP(SUM(VLOOKUP(A54,GALLON55READY[],3,FALSE)*$C$3*FULLBBALLREADY[[#This Row],[Column2]]),0),IF(Calculator!$A$3=2,ROUNDUP(SUM(VLOOKUP(A54,GALLON55READY[],4,FALSE)*$C$3*FULLBBALLREADY[[#This Row],[Column2]]),0),IF(Calculator!$A$3=3,ROUNDUP(SUM(VLOOKUP(A54,GALLON55READY[],5,FALSE)*$C$3*FULLBBALLREADY[[#This Row],[Column2]]),0),IF(Calculator!$A$3=4,ROUNDUP(SUM(VLOOKUP(A54,GALLON55READY[],6,FALSE)*$C$3*FULLBBALLREADY[[#This Row],[Column2]]),0))))),"")</f>
        <v>72</v>
      </c>
      <c r="D54" s="61">
        <f>ROUNDUP(SUM(FULLBBALLREADY[[#This Row],[Column3]]/IF(Calculator!$A$2=1,5,IF(Calculator!$A$2=2,30,IF(Calculator!$A$2=3,55,"")))),0)</f>
        <v>2</v>
      </c>
      <c r="E54" s="61" t="str">
        <f>VLOOKUP(A54,GALLON55READY[],2,0)&amp;IF(Calculator!$A$2=1,"P",IF(Calculator!$A$2=2,"K",IF(Calculator!$A$2=3,"D","")))</f>
        <v>C1450D</v>
      </c>
    </row>
    <row r="55" spans="1:5" ht="24.95" customHeight="1" x14ac:dyDescent="0.25">
      <c r="A55" s="76" t="s">
        <v>43</v>
      </c>
      <c r="B55" s="69" t="s">
        <v>27</v>
      </c>
      <c r="C55" s="69" t="s">
        <v>28</v>
      </c>
      <c r="D55" s="39"/>
      <c r="E55" s="60" t="s">
        <v>30</v>
      </c>
    </row>
    <row r="56" spans="1:5" ht="24.95" customHeight="1" x14ac:dyDescent="0.25">
      <c r="A56" s="77" t="s">
        <v>44</v>
      </c>
      <c r="B56" s="70">
        <v>1</v>
      </c>
      <c r="C56" s="70">
        <f>ROUNDUP(CEILING(B4/2, 1),0)</f>
        <v>1</v>
      </c>
      <c r="D56" s="39">
        <f>FULLBBALLREADY[[#This Row],[Column3]]</f>
        <v>1</v>
      </c>
      <c r="E56" s="61" t="str">
        <f>VLOOKUP(A56,GALLON55READY[],2,0)</f>
        <v>C1610G</v>
      </c>
    </row>
    <row r="57" spans="1:5" ht="24.95" customHeight="1" x14ac:dyDescent="0.25">
      <c r="A57" s="77" t="s">
        <v>45</v>
      </c>
      <c r="B57" s="70">
        <v>1</v>
      </c>
      <c r="C57" s="70">
        <f>ROUNDUP(CEILING(B4/2, 1),0)</f>
        <v>1</v>
      </c>
      <c r="D57" s="39">
        <f>FULLBBALLREADY[[#This Row],[Column3]]</f>
        <v>1</v>
      </c>
      <c r="E57" s="61" t="str">
        <f>VLOOKUP(A57,GALLON55READY[],2,0)</f>
        <v>C1620G</v>
      </c>
    </row>
    <row r="58" spans="1:5" ht="24.95" customHeight="1" x14ac:dyDescent="0.25">
      <c r="A58" s="76" t="s">
        <v>46</v>
      </c>
      <c r="B58" s="69" t="s">
        <v>47</v>
      </c>
      <c r="C58" s="39"/>
      <c r="D58" s="39"/>
      <c r="E58" s="39"/>
    </row>
    <row r="59" spans="1:5" ht="24.95" customHeight="1" x14ac:dyDescent="0.25">
      <c r="A59" s="77" t="s">
        <v>48</v>
      </c>
      <c r="B59" s="73">
        <f>ROUNDUP(SUM(8*B4),0)</f>
        <v>8</v>
      </c>
      <c r="C59" s="39"/>
      <c r="D59" s="39"/>
      <c r="E59" s="39"/>
    </row>
  </sheetData>
  <sheetProtection algorithmName="SHA-512" hashValue="mR5fhw7N5UjZQKWpk9wstHJzQnB+mJ5cnKt4lpDqBEt2KI/hRFgVMzK/QN55/UKWWWX3A48kSMXNHZduMzc5Lw==" saltValue="O0oht7x2xvxTVH6TrcbAxA==" spinCount="100000" sheet="1" formatCells="0" formatColumns="0" formatRows="0" insertColumns="0" insertRows="0" insertHyperlinks="0" deleteColumns="0" deleteRows="0" sort="0" autoFilter="0" pivotTables="0"/>
  <phoneticPr fontId="9" type="noConversion"/>
  <conditionalFormatting sqref="B3">
    <cfRule type="cellIs" dxfId="73" priority="1" operator="equal">
      <formula>0</formula>
    </cfRule>
  </conditionalFormatting>
  <dataValidations count="1">
    <dataValidation type="list" allowBlank="1" showInputMessage="1" showErrorMessage="1" sqref="A1:C1 C3:C10" xr:uid="{105CE2ED-1757-4ECB-92B0-7FEEB2CE9F59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7983-8822-49AB-8C72-D8FE8BC126D6}">
  <sheetPr codeName="Sheet15"/>
  <dimension ref="A1:E54"/>
  <sheetViews>
    <sheetView topLeftCell="A29" zoomScale="80" zoomScaleNormal="80" workbookViewId="0">
      <selection activeCell="D25" sqref="D25"/>
    </sheetView>
  </sheetViews>
  <sheetFormatPr defaultRowHeight="15" x14ac:dyDescent="0.25"/>
  <cols>
    <col min="1" max="1" width="40.7109375" customWidth="1"/>
    <col min="2" max="2" width="25" bestFit="1" customWidth="1"/>
    <col min="3" max="3" width="27.28515625" bestFit="1" customWidth="1"/>
    <col min="4" max="4" width="28.7109375" bestFit="1" customWidth="1"/>
    <col min="5" max="5" width="12.85546875" bestFit="1" customWidth="1"/>
  </cols>
  <sheetData>
    <row r="1" spans="1:5" ht="30" customHeight="1" thickBot="1" x14ac:dyDescent="0.3">
      <c r="A1" s="41"/>
      <c r="B1" s="42"/>
      <c r="C1" s="43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5" ht="24.95" customHeight="1" thickBot="1" x14ac:dyDescent="0.3">
      <c r="A3" s="46" t="s">
        <v>8</v>
      </c>
      <c r="B3" s="62">
        <f>IF(Calculator!$A$5=1,SUM(Calculator!C5*Calculator!C6),IF(Calculator!$A$5=2,Calculator!C5,IF(Calculator!$A$5=3,SUM(Calculator!C5*9),IF(Calculator!$A$5=4,SUM(Calculator!C5*10.7639),""))))</f>
        <v>3200</v>
      </c>
      <c r="C3" s="56">
        <f>SUM(FULLBBALLREADY[[#This Row],[Column2]]/9)</f>
        <v>355.55555555555554</v>
      </c>
    </row>
    <row r="4" spans="1:5" ht="24.95" customHeight="1" thickBot="1" x14ac:dyDescent="0.3">
      <c r="A4" s="46" t="s">
        <v>9</v>
      </c>
      <c r="B4" s="65">
        <f>Calculator!C9</f>
        <v>1</v>
      </c>
      <c r="C4" s="65"/>
    </row>
    <row r="5" spans="1:5" ht="24.95" customHeight="1" thickBot="1" x14ac:dyDescent="0.3">
      <c r="A5" s="46" t="s">
        <v>66</v>
      </c>
      <c r="B5" s="62">
        <f>(SUM(4200*B4))</f>
        <v>4200</v>
      </c>
      <c r="C5" s="56">
        <f>SUM(FULLBBALLREADY[[#This Row],[Column2]]/9)</f>
        <v>466.66666666666669</v>
      </c>
    </row>
    <row r="6" spans="1:5" ht="24.95" customHeight="1" thickBot="1" x14ac:dyDescent="0.3">
      <c r="A6" s="46" t="s">
        <v>67</v>
      </c>
      <c r="B6" s="62">
        <f>MAX(0,(B3-B5))</f>
        <v>0</v>
      </c>
      <c r="C6" s="56">
        <f>SUM(FULLBBALLREADY[[#This Row],[Column2]]/9)</f>
        <v>0</v>
      </c>
    </row>
    <row r="7" spans="1:5" ht="24.95" customHeight="1" thickBot="1" x14ac:dyDescent="0.3">
      <c r="A7" s="46" t="s">
        <v>68</v>
      </c>
      <c r="B7" s="62">
        <f>ROUNDUP(SUM(1224*B4),0)</f>
        <v>1224</v>
      </c>
      <c r="C7" s="56">
        <f>SUM(FULLBBALLREADY[[#This Row],[Column2]]/9)</f>
        <v>136</v>
      </c>
    </row>
    <row r="8" spans="1:5" ht="24.95" customHeight="1" thickBot="1" x14ac:dyDescent="0.3">
      <c r="A8" s="47" t="s">
        <v>69</v>
      </c>
      <c r="B8" s="63">
        <f>ROUNDUP(SUM(456*B4),0)</f>
        <v>456</v>
      </c>
      <c r="C8" s="56">
        <f>SUM(FULLBBALLREADY[[#This Row],[Column2]]/9)</f>
        <v>50.666666666666664</v>
      </c>
    </row>
    <row r="9" spans="1:5" ht="24.95" customHeight="1" thickBot="1" x14ac:dyDescent="0.3">
      <c r="A9" s="51" t="s">
        <v>70</v>
      </c>
      <c r="B9" s="62">
        <f>ROUNDUP(SUM(113*B4),0)</f>
        <v>113</v>
      </c>
      <c r="C9" s="56">
        <f>SUM(FULLBBALLREADY[[#This Row],[Column2]]/9)</f>
        <v>12.555555555555555</v>
      </c>
    </row>
    <row r="10" spans="1:5" ht="24.95" customHeight="1" x14ac:dyDescent="0.25">
      <c r="A10" s="51" t="s">
        <v>71</v>
      </c>
      <c r="B10" s="64">
        <f>ROUNDUP(SUM(113*B4),0)</f>
        <v>113</v>
      </c>
      <c r="C10" s="56">
        <f>SUM(FULLBBALLREADY[[#This Row],[Column2]]/9)</f>
        <v>12.555555555555555</v>
      </c>
    </row>
    <row r="11" spans="1:5" ht="24.95" customHeight="1" thickBot="1" x14ac:dyDescent="0.3">
      <c r="A11" s="68" t="s">
        <v>12</v>
      </c>
      <c r="B11" s="69" t="s">
        <v>13</v>
      </c>
      <c r="C11" s="80" t="s">
        <v>14</v>
      </c>
      <c r="D11" s="60" t="s">
        <v>15</v>
      </c>
    </row>
    <row r="12" spans="1:5" ht="24.95" customHeight="1" thickBot="1" x14ac:dyDescent="0.3">
      <c r="A12" s="46" t="s">
        <v>16</v>
      </c>
      <c r="B12" s="79" t="s">
        <v>17</v>
      </c>
      <c r="C12" s="54" t="s">
        <v>18</v>
      </c>
      <c r="D12" s="39" t="s">
        <v>19</v>
      </c>
    </row>
    <row r="13" spans="1:5" ht="24.95" customHeight="1" thickBot="1" x14ac:dyDescent="0.3">
      <c r="A13" s="46" t="s">
        <v>20</v>
      </c>
      <c r="B13" s="79" t="s">
        <v>17</v>
      </c>
      <c r="C13" s="54" t="s">
        <v>21</v>
      </c>
      <c r="D13" s="39" t="s">
        <v>22</v>
      </c>
    </row>
    <row r="14" spans="1:5" ht="24.95" customHeight="1" thickBot="1" x14ac:dyDescent="0.3">
      <c r="A14" s="46" t="s">
        <v>23</v>
      </c>
      <c r="B14" s="79" t="s">
        <v>24</v>
      </c>
      <c r="C14" s="54" t="s">
        <v>21</v>
      </c>
      <c r="D14" s="39" t="s">
        <v>25</v>
      </c>
    </row>
    <row r="15" spans="1:5" ht="24.95" customHeight="1" thickBot="1" x14ac:dyDescent="0.3">
      <c r="A15" s="68" t="s">
        <v>26</v>
      </c>
      <c r="B15" s="69" t="s">
        <v>27</v>
      </c>
      <c r="C15" s="69" t="s">
        <v>28</v>
      </c>
      <c r="D15" s="67" t="s">
        <v>29</v>
      </c>
      <c r="E15" s="60" t="s">
        <v>30</v>
      </c>
    </row>
    <row r="16" spans="1:5" ht="24.95" customHeight="1" thickBot="1" x14ac:dyDescent="0.3">
      <c r="A16" s="46" t="s">
        <v>31</v>
      </c>
      <c r="B16" s="70" t="str">
        <f>IF(OR(Calculator!$A$3=1,Calculator!$A$3=3),1,IF(OR(Calculator!$A$3=2,Calculator!$A$3=4),""))</f>
        <v/>
      </c>
      <c r="C16" s="71" t="str">
        <f>IFERROR(IF(Calculator!$A$3=1,ROUNDUP(SUM(VLOOKUP(A16,GALLON55CONC[],3,FALSE)*$C$3*FULLBBALLCONC[[#This Row],[Column2]]),0),IF(Calculator!$A$3=2,ROUNDUP(SUM(VLOOKUP(A16,GALLON55CONC[],4,FALSE)*$C$3*FULLBBALLCONC[[#This Row],[Column2]])*TennisReady[[#This Row],[Column2]],0),IF(Calculator!$A$3=3,ROUNDUP(SUM(VLOOKUP(A16,GALLON55CONC[],5,FALSE)*$C$3*FULLBBALLCONC[[#This Row],[Column2]]),0),IF(Calculator!$A$3=4,ROUNDUP(SUM(VLOOKUP(A16,GALLON55CONC[],6,FALSE)*$C$3*FULLBBALLCONC[[#This Row],[Column2]]),0))))),"")</f>
        <v/>
      </c>
      <c r="D16" s="82" t="str">
        <f>IFERROR(ROUNDUP(SUM(FULLBBALLCONC[[#This Row],[Column3]]/IF(Calculator!$A$2=1,5,IF(Calculator!$A$2=2,30,IF(Calculator!$A$2=3,55,"")))),0),"")</f>
        <v/>
      </c>
      <c r="E16" s="61" t="str">
        <f>VLOOKUP(A16,GALLON55READY[],2,0)&amp;IF(Calculator!$A$2=1,"P",IF(Calculator!$A$2=2,"K",IF(Calculator!$A$2=3,"D","")))</f>
        <v>C1650D</v>
      </c>
    </row>
    <row r="17" spans="1:5" ht="24.95" customHeight="1" x14ac:dyDescent="0.25">
      <c r="A17" s="47" t="s">
        <v>50</v>
      </c>
      <c r="B17" s="70">
        <f>IF(OR(Calculator!$A$3=3,Calculator!$A$3=4,Calculator!$A$3=1),1,IF(Calculator!$A$3=2,2,""))</f>
        <v>2</v>
      </c>
      <c r="C17" s="71">
        <f>IFERROR(IF(Calculator!$A$3=1,ROUNDUP(SUM(VLOOKUP(A17,GALLON55CONC[],3,FALSE)*$C$3*FULLBBALLCONC[[#This Row],[Column2]]),0),IF(Calculator!$A$3=2,ROUNDUP(SUM(VLOOKUP(A17,GALLON55CONC[],4,FALSE)*$C$3*FULLBBALLCONC[[#This Row],[Column2]])*TennisReady[[#This Row],[Column2]],0),IF(Calculator!$A$3=3,ROUNDUP(SUM(VLOOKUP(A17,GALLON55CONC[],5,FALSE)*$C$3*FULLBBALLCONC[[#This Row],[Column2]]),0),IF(Calculator!$A$3=4,ROUNDUP(SUM(VLOOKUP(A17,GALLON55CONC[],6,FALSE)*$C$3*FULLBBALLCONC[[#This Row],[Column2]]),0))))),"")</f>
        <v>128</v>
      </c>
      <c r="D17" s="61">
        <f>ROUNDUP(SUM(FULLBBALLCONC[[#This Row],[Column3]]/IF(Calculator!$A$2=1,5,IF(Calculator!$A$2=2,30,IF(Calculator!$A$2=3,55,"")))),0)</f>
        <v>3</v>
      </c>
      <c r="E17" s="39" t="str">
        <f>VLOOKUP(A17,GALLON55CONC[],2,0)&amp;IF(Calculator!$A$2=1,"P",IF(Calculator!$A$2=2,"K",IF(Calculator!$A$2=3,"D","")))</f>
        <v>C1300D</v>
      </c>
    </row>
    <row r="18" spans="1:5" ht="24.95" customHeight="1" x14ac:dyDescent="0.25">
      <c r="A18" s="47" t="s">
        <v>51</v>
      </c>
      <c r="B18" s="47"/>
      <c r="C18" s="71">
        <f>IF(Calculator!$A$2=1,(D17*70),IF(Calculator!$A$2=2,(D17*400),IF(Calculator!$A$2=3,(D17*750),"")))</f>
        <v>2250</v>
      </c>
      <c r="D18" s="61" t="str">
        <f>ROUNDUP(SUM(FULLBBALLCONC[[#This Row],[Column3]]/50),0)&amp; " - 50 lbs. Bags"</f>
        <v>45 - 50 lbs. Bags</v>
      </c>
      <c r="E18" s="39" t="s">
        <v>52</v>
      </c>
    </row>
    <row r="19" spans="1:5" ht="24.95" customHeight="1" x14ac:dyDescent="0.25">
      <c r="A19" s="68" t="s">
        <v>66</v>
      </c>
      <c r="B19" s="69" t="s">
        <v>27</v>
      </c>
      <c r="C19" s="69" t="s">
        <v>28</v>
      </c>
      <c r="D19" s="67" t="s">
        <v>29</v>
      </c>
      <c r="E19" s="60" t="s">
        <v>30</v>
      </c>
    </row>
    <row r="20" spans="1:5" ht="24.95" customHeight="1" x14ac:dyDescent="0.25">
      <c r="A20" s="47" t="s">
        <v>53</v>
      </c>
      <c r="B20" s="70">
        <v>2</v>
      </c>
      <c r="C20" s="71">
        <f>IFERROR(IF(Calculator!$A$3=1,ROUNDUP(SUM(VLOOKUP(A20,GALLON55CONC[],3,FALSE)*$C$5*FULLBBALLCONC[[#This Row],[Column2]]),0),IF(Calculator!$A$3=2,ROUNDUP(SUM(VLOOKUP(A20,GALLON55CONC[],4,FALSE)*$C$5*FULLBBALLCONC[[#This Row],[Column2]]),0),IF(Calculator!$A$3=3,ROUNDUP(SUM(VLOOKUP(A20,GALLON55CONC[],5,FALSE)*$C$5*FULLBBALLCONC[[#This Row],[Column2]]),0),IF(Calculator!$A$3=4,ROUNDUP(SUM(VLOOKUP(A20,GALLON55CONC[],6,FALSE)*$C$5*FULLBBALLCONC[[#This Row],[Column2]]),0))))),"")</f>
        <v>66</v>
      </c>
      <c r="D20" s="61">
        <f>ROUNDUP(SUM(FULLBBALLCONC[[#This Row],[Column3]]/IF(Calculator!$A$2=1,5,IF(Calculator!$A$2=2,30,IF(Calculator!$A$2=3,55,"")))),0)</f>
        <v>2</v>
      </c>
      <c r="E20" s="39" t="str">
        <f>VLOOKUP(A20,GALLON55CONC[],2,0)&amp;IF(Calculator!$A$2=1,"P",IF(Calculator!$A$2=2,"K",IF(Calculator!$A$2=3,"D","")))</f>
        <v>C1360D</v>
      </c>
    </row>
    <row r="21" spans="1:5" ht="24.95" customHeight="1" x14ac:dyDescent="0.25">
      <c r="A21" s="47" t="s">
        <v>54</v>
      </c>
      <c r="B21" s="47"/>
      <c r="C21" s="71">
        <f>IF(Calculator!$A$2=1,(D20*35),IF(Calculator!$A$2=2,(D20*200),IF(Calculator!$A$2=3,(D20*400),"")))</f>
        <v>800</v>
      </c>
      <c r="D21" s="61" t="str">
        <f>ROUNDUP(SUM(FULLBBALLCONC[[#This Row],[Column3]]/50),0)&amp; " - 50 lbs. Bags"</f>
        <v>16 - 50 lbs. Bags</v>
      </c>
      <c r="E21" s="39" t="s">
        <v>55</v>
      </c>
    </row>
    <row r="22" spans="1:5" ht="24.95" customHeight="1" x14ac:dyDescent="0.25">
      <c r="A22" s="47" t="str">
        <f>Calculator!$B$22</f>
        <v>Light Blue ColorPlus</v>
      </c>
      <c r="B22" s="47"/>
      <c r="C22" s="61"/>
      <c r="D22" s="61" t="str">
        <f>IF(Calculator!$A$2=1,(D20*2),IF(Calculator!$A$2=2,(D20*2),IF(Calculator!$A$2=3,(D20*4),"")))&amp; IF(OR(Calculator!$A$2=2,Calculator!$A$2=3)," - 1 Gallon Pail(s)",IF(Calculator!$A$2=1," - 24 OZ Jar(s)"))</f>
        <v>8 - 1 Gallon Pail(s)</v>
      </c>
      <c r="E22" s="39" t="str">
        <f>IFERROR(IF(Calculator!$A$2=1,VLOOKUP(FULLBBALLCONC[[#This Row],[Column1]],OZ_JARS[],2,0),IF(OR(Calculator!$A$2=2,Calculator!$A$2=3),VLOOKUP(FULLBBALLCONC[[#This Row],[Column1]],'1 GALLON'!A2:G19,2,0),"")),"")</f>
        <v>C1385G</v>
      </c>
    </row>
    <row r="23" spans="1:5" ht="24.95" customHeight="1" x14ac:dyDescent="0.25">
      <c r="A23" s="72" t="s">
        <v>67</v>
      </c>
      <c r="B23" s="69" t="s">
        <v>27</v>
      </c>
      <c r="C23" s="69" t="s">
        <v>28</v>
      </c>
      <c r="D23" s="67" t="s">
        <v>29</v>
      </c>
      <c r="E23" s="60" t="s">
        <v>30</v>
      </c>
    </row>
    <row r="24" spans="1:5" ht="24.95" customHeight="1" x14ac:dyDescent="0.25">
      <c r="A24" s="47" t="s">
        <v>53</v>
      </c>
      <c r="B24" s="70">
        <v>2</v>
      </c>
      <c r="C24" s="71">
        <f>IFERROR(IF(Calculator!$A$3=1,ROUNDUP(SUM(VLOOKUP(A24,GALLON55CONC[],3,FALSE)*$C$6*FULLBBALLCONC[[#This Row],[Column2]]),0),IF(Calculator!$A$3=2,ROUNDUP(SUM(VLOOKUP(A24,GALLON55CONC[],4,FALSE)*$C$6*FULLBBALLCONC[[#This Row],[Column2]]),0),IF(Calculator!$A$3=3,ROUNDUP(SUM(VLOOKUP(A24,GALLON55CONC[],5,FALSE)*$C$6*FULLBBALLCONC[[#This Row],[Column2]]),0),IF(Calculator!$A$3=4,ROUNDUP(SUM(VLOOKUP(A24,GALLON55CONC[],6,FALSE)*$C$6*FULLBBALLCONC[[#This Row],[Column2]]),0))))),"")</f>
        <v>0</v>
      </c>
      <c r="D24" s="61">
        <f>ROUNDUP(SUM(FULLBBALLCONC[[#This Row],[Column3]]/IF(Calculator!$A$2=1,5,IF(Calculator!$A$2=2,30,IF(Calculator!$A$2=3,55,"")))),0)</f>
        <v>0</v>
      </c>
      <c r="E24" s="39" t="str">
        <f>VLOOKUP(A24,GALLON55CONC[],2,0)&amp;IF(Calculator!$A$2=1,"P",IF(Calculator!$A$2=2,"K",IF(Calculator!$A$2=3,"D","")))</f>
        <v>C1360D</v>
      </c>
    </row>
    <row r="25" spans="1:5" ht="24.95" customHeight="1" x14ac:dyDescent="0.25">
      <c r="A25" s="47" t="s">
        <v>54</v>
      </c>
      <c r="B25" s="47"/>
      <c r="C25" s="71">
        <f>IF(Calculator!$A$2=1,(D24*35),IF(Calculator!$A$2=2,(D24*200),IF(Calculator!$A$2=3,(D24*400),"")))</f>
        <v>0</v>
      </c>
      <c r="D25" s="61" t="str">
        <f>ROUNDUP(SUM(FULLBBALLCONC[[#This Row],[Column3]]/50),0)&amp; " - 50 lbs. Bags"</f>
        <v>0 - 50 lbs. Bags</v>
      </c>
      <c r="E25" s="39" t="s">
        <v>55</v>
      </c>
    </row>
    <row r="26" spans="1:5" ht="24.95" customHeight="1" x14ac:dyDescent="0.25">
      <c r="A26" s="47" t="str">
        <f>Calculator!$B$24</f>
        <v>Blue ColorPlus</v>
      </c>
      <c r="B26" s="47"/>
      <c r="C26" s="61"/>
      <c r="D26" s="61" t="str">
        <f>IF(Calculator!$A$2=1,(D24*2),IF(Calculator!$A$2=2,(D24*2),IF(Calculator!$A$2=3,(D24*4),"")))&amp; IF(OR(Calculator!$A$2=2,Calculator!$A$2=3)," - 1 Gallon Pail(s)",IF(Calculator!$A$2=1," - 24 OZ Jar(s)"))</f>
        <v>0 - 1 Gallon Pail(s)</v>
      </c>
      <c r="E26" s="39" t="str">
        <f>IFERROR(IF(Calculator!$A$2=1,VLOOKUP(FULLBBALLCONC[[#This Row],[Column1]],OZ_JARS[],2,0),IF(OR(Calculator!$A$2=2,Calculator!$A$2=3),VLOOKUP(FULLBBALLCONC[[#This Row],[Column1]],'1 GALLON'!A2:G19,2,0),"")),"")</f>
        <v>C1384G</v>
      </c>
    </row>
    <row r="27" spans="1:5" ht="24.95" customHeight="1" x14ac:dyDescent="0.25">
      <c r="A27" s="72" t="s">
        <v>68</v>
      </c>
      <c r="B27" s="69" t="s">
        <v>27</v>
      </c>
      <c r="C27" s="69" t="s">
        <v>28</v>
      </c>
      <c r="D27" s="67" t="s">
        <v>29</v>
      </c>
      <c r="E27" s="60" t="s">
        <v>30</v>
      </c>
    </row>
    <row r="28" spans="1:5" ht="24.95" customHeight="1" x14ac:dyDescent="0.25">
      <c r="A28" s="47" t="s">
        <v>53</v>
      </c>
      <c r="B28" s="70">
        <v>2</v>
      </c>
      <c r="C28" s="71">
        <f>IFERROR(IF(Calculator!$A$3=1,ROUNDUP(SUM(VLOOKUP(A28,GALLON55CONC[],3,FALSE)*$C$7*FULLBBALLCONC[[#This Row],[Column2]]),0),IF(Calculator!$A$3=2,ROUNDUP(SUM(VLOOKUP(A28,GALLON55CONC[],4,FALSE)*$C$7*FULLBBALLCONC[[#This Row],[Column2]]),0),IF(Calculator!$A$3=3,ROUNDUP(SUM(VLOOKUP(A28,GALLON55CONC[],5,FALSE)*$C$7*FULLBBALLCONC[[#This Row],[Column2]]),0),IF(Calculator!$A$3=4,ROUNDUP(SUM(VLOOKUP(A28,GALLON55CONC[],6,FALSE)*$C$7*FULLBBALLCONC[[#This Row],[Column2]]),0))))),"")</f>
        <v>20</v>
      </c>
      <c r="D28" s="61">
        <f>ROUNDUP(SUM(FULLBBALLCONC[[#This Row],[Column3]]/IF(Calculator!$A$2=1,5,IF(Calculator!$A$2=2,30,IF(Calculator!$A$2=3,55,"")))),0)</f>
        <v>1</v>
      </c>
      <c r="E28" s="39" t="str">
        <f>VLOOKUP(A28,GALLON55CONC[],2,0)&amp;IF(Calculator!$A$2=1,"P",IF(Calculator!$A$2=2,"K",IF(Calculator!$A$2=3,"D","")))</f>
        <v>C1360D</v>
      </c>
    </row>
    <row r="29" spans="1:5" ht="24.95" customHeight="1" x14ac:dyDescent="0.25">
      <c r="A29" s="47" t="s">
        <v>54</v>
      </c>
      <c r="B29" s="47"/>
      <c r="C29" s="71">
        <f>IF(Calculator!$A$2=1,(D28*35),IF(Calculator!$A$2=2,(D28*200),IF(Calculator!$A$2=3,(D28*400),"")))</f>
        <v>400</v>
      </c>
      <c r="D29" s="61" t="str">
        <f>ROUNDUP(SUM(FULLBBALLCONC[[#This Row],[Column3]]/50),0)&amp; " - 50 lbs. Bags"</f>
        <v>8 - 50 lbs. Bags</v>
      </c>
      <c r="E29" s="39" t="s">
        <v>55</v>
      </c>
    </row>
    <row r="30" spans="1:5" ht="24.95" customHeight="1" x14ac:dyDescent="0.25">
      <c r="A30" s="47" t="str">
        <f>Calculator!$B$26</f>
        <v>Blue ColorPlus</v>
      </c>
      <c r="B30" s="47"/>
      <c r="C30" s="61"/>
      <c r="D30" s="61" t="str">
        <f>IF(Calculator!$A$2=1,(D28*2),IF(Calculator!$A$2=2,(D28*2),IF(Calculator!$A$2=3,(D28*4),"")))&amp; IF(OR(Calculator!$A$2=2,Calculator!$A$2=3)," - 1 Gallon Pail(s)",IF(Calculator!$A$2=1," - 24 OZ Jar(s)"))</f>
        <v>4 - 1 Gallon Pail(s)</v>
      </c>
      <c r="E30" s="39" t="str">
        <f>IFERROR(IF(Calculator!$A$2=1,VLOOKUP(FULLBBALLCONC[[#This Row],[Column1]],OZ_JARS[],2,0),IF(OR(Calculator!$A$2=2,Calculator!$A$2=3),VLOOKUP(FULLBBALLCONC[[#This Row],[Column1]],'1 GALLON'!A2:G19,2,0),"")),"")</f>
        <v>C1384G</v>
      </c>
    </row>
    <row r="31" spans="1:5" ht="24.95" customHeight="1" x14ac:dyDescent="0.25">
      <c r="A31" s="72" t="s">
        <v>69</v>
      </c>
      <c r="B31" s="69" t="s">
        <v>27</v>
      </c>
      <c r="C31" s="69" t="s">
        <v>28</v>
      </c>
      <c r="D31" s="67" t="s">
        <v>29</v>
      </c>
      <c r="E31" s="60" t="s">
        <v>30</v>
      </c>
    </row>
    <row r="32" spans="1:5" ht="24.95" customHeight="1" x14ac:dyDescent="0.25">
      <c r="A32" s="47" t="s">
        <v>53</v>
      </c>
      <c r="B32" s="70">
        <v>2</v>
      </c>
      <c r="C32" s="71">
        <f>IFERROR(IF(Calculator!$A$3=1,ROUNDUP(SUM(VLOOKUP(A32,GALLON55CONC[],3,FALSE)*$C$8*FULLBBALLCONC[[#This Row],[Column2]]),0),IF(Calculator!$A$3=2,ROUNDUP(SUM(VLOOKUP(A32,GALLON55CONC[],4,FALSE)*$C$8*FULLBBALLCONC[[#This Row],[Column2]]),0),IF(Calculator!$A$3=3,ROUNDUP(SUM(VLOOKUP(A32,GALLON55CONC[],5,FALSE)*$C$8*FULLBBALLCONC[[#This Row],[Column2]]),0),IF(Calculator!$A$3=4,ROUNDUP(SUM(VLOOKUP(A32,GALLON55CONC[],6,FALSE)*$C$8*FULLBBALLCONC[[#This Row],[Column2]]),0))))),"")</f>
        <v>8</v>
      </c>
      <c r="D32" s="61">
        <f>ROUNDUP(SUM(FULLBBALLCONC[[#This Row],[Column3]]/IF(Calculator!$A$2=1,5,IF(Calculator!$A$2=2,30,IF(Calculator!$A$2=3,55,"")))),0)</f>
        <v>1</v>
      </c>
      <c r="E32" s="39" t="str">
        <f>VLOOKUP(A32,GALLON55CONC[],2,0)&amp;IF(Calculator!$A$2=1,"P",IF(Calculator!$A$2=2,"K",IF(Calculator!$A$2=3,"D","")))</f>
        <v>C1360D</v>
      </c>
    </row>
    <row r="33" spans="1:5" ht="24.95" customHeight="1" x14ac:dyDescent="0.25">
      <c r="A33" s="47" t="s">
        <v>54</v>
      </c>
      <c r="B33" s="47"/>
      <c r="C33" s="71">
        <f>IF(Calculator!$A$2=1,(D32*35),IF(Calculator!$A$2=2,(D32*200),IF(Calculator!$A$2=3,(D32*400),"")))</f>
        <v>400</v>
      </c>
      <c r="D33" s="61" t="str">
        <f>ROUNDUP(SUM(FULLBBALLCONC[[#This Row],[Column3]]/50),0)&amp; " - 50 lbs. Bags"</f>
        <v>8 - 50 lbs. Bags</v>
      </c>
      <c r="E33" s="39" t="s">
        <v>55</v>
      </c>
    </row>
    <row r="34" spans="1:5" ht="24.95" customHeight="1" x14ac:dyDescent="0.25">
      <c r="A34" s="47" t="str">
        <f>Calculator!$B$28</f>
        <v>Light Blue ColorPlus</v>
      </c>
      <c r="B34" s="47"/>
      <c r="C34" s="61"/>
      <c r="D34" s="61" t="str">
        <f>IF(Calculator!$A$2=1,(D32*2),IF(Calculator!$A$2=2,(D32*2),IF(Calculator!$A$2=3,(D32*4),"")))&amp; IF(OR(Calculator!$A$2=2,Calculator!$A$2=3)," - 1 Gallon Pail(s)",IF(Calculator!$A$2=1," - 24 OZ Jar(s)"))</f>
        <v>4 - 1 Gallon Pail(s)</v>
      </c>
      <c r="E34" s="39" t="str">
        <f>IFERROR(IF(Calculator!$A$2=1,VLOOKUP(FULLBBALLCONC[[#This Row],[Column1]],OZ_JARS[],2,0),IF(OR(Calculator!$A$2=2,Calculator!$A$2=3),VLOOKUP(FULLBBALLCONC[[#This Row],[Column1]],'1 GALLON'!A2:G19,2,0),"")),"")</f>
        <v>C1385G</v>
      </c>
    </row>
    <row r="35" spans="1:5" ht="24.95" customHeight="1" x14ac:dyDescent="0.25">
      <c r="A35" s="72" t="s">
        <v>70</v>
      </c>
      <c r="B35" s="69" t="s">
        <v>27</v>
      </c>
      <c r="C35" s="69" t="s">
        <v>28</v>
      </c>
      <c r="D35" s="67" t="s">
        <v>29</v>
      </c>
      <c r="E35" s="60" t="s">
        <v>30</v>
      </c>
    </row>
    <row r="36" spans="1:5" ht="24.95" customHeight="1" x14ac:dyDescent="0.25">
      <c r="A36" s="47" t="s">
        <v>53</v>
      </c>
      <c r="B36" s="70">
        <v>2</v>
      </c>
      <c r="C36" s="71">
        <f>IF(Calculator!$A$3=1,ROUNDUP(SUM(VLOOKUP(A36,GALLON55CONC[],3,FALSE)*$C$9*FULLBBALLCONC[[#This Row],[Column2]]),0),IF(Calculator!$A$3=2,ROUNDUP(SUM(VLOOKUP(A36,GALLON55CONC[],4,FALSE)*$C$9*FULLBBALLCONC[[#This Row],[Column2]]),0),IF(Calculator!$A$3=3,ROUNDUP(SUM(VLOOKUP(A36,GALLON55CONC[],5,FALSE)*$C$9*FULLBBALLCONC[[#This Row],[Column2]]),0),IF(Calculator!$A$3=4,ROUNDUP(SUM(VLOOKUP(A36,GALLON55CONC[],6,FALSE)*$C$9*FULLBBALLCONC[[#This Row],[Column2]]),0)))))</f>
        <v>2</v>
      </c>
      <c r="D36" s="61">
        <f>ROUNDUP(SUM(FULLBBALLCONC[[#This Row],[Column3]]/IF(Calculator!$A$2=1,5,IF(Calculator!$A$2=2,30,IF(Calculator!$A$2=3,55,"")))),0)</f>
        <v>1</v>
      </c>
      <c r="E36" s="39" t="str">
        <f>VLOOKUP(A36,GALLON55CONC[],2,0)&amp;IF(Calculator!$A$2=1,"P",IF(Calculator!$A$2=2,"K",IF(Calculator!$A$2=3,"D","")))</f>
        <v>C1360D</v>
      </c>
    </row>
    <row r="37" spans="1:5" ht="24.95" customHeight="1" x14ac:dyDescent="0.25">
      <c r="A37" s="47" t="s">
        <v>54</v>
      </c>
      <c r="B37" s="47"/>
      <c r="C37" s="71">
        <f>IF(Calculator!$A$2=1,(D36*35),IF(Calculator!$A$2=2,(D36*200),IF(Calculator!$A$2=3,(D36*400),"")))</f>
        <v>400</v>
      </c>
      <c r="D37" s="61" t="str">
        <f>ROUNDUP(SUM(FULLBBALLCONC[[#This Row],[Column3]]/50),0)&amp; " - 50 lbs. Bags"</f>
        <v>8 - 50 lbs. Bags</v>
      </c>
      <c r="E37" s="39" t="s">
        <v>55</v>
      </c>
    </row>
    <row r="38" spans="1:5" ht="24.95" customHeight="1" x14ac:dyDescent="0.25">
      <c r="A38" s="47" t="str">
        <f>Calculator!$B$30</f>
        <v>Blue ColorPlus</v>
      </c>
      <c r="B38" s="47"/>
      <c r="C38" s="61"/>
      <c r="D38" s="61" t="str">
        <f>IF(Calculator!$A$2=1,(D36*2),IF(Calculator!$A$2=2,(D36*2),IF(Calculator!$A$2=3,(D36*4),"")))&amp; IF(OR(Calculator!$A$2=2,Calculator!$A$2=3)," - 1 Gallon Pail(s)",IF(Calculator!$A$2=1," - 24 OZ Jar(s)"))</f>
        <v>4 - 1 Gallon Pail(s)</v>
      </c>
      <c r="E38" s="39" t="str">
        <f>IFERROR(IF(Calculator!$A$2=1,VLOOKUP(FULLBBALLCONC[[#This Row],[Column1]],OZ_JARS[],2,0),IF(OR(Calculator!$A$2=2,Calculator!$A$2=3),VLOOKUP(FULLBBALLCONC[[#This Row],[Column1]],'1 GALLON'!A2:G19,2,0),"")),"")</f>
        <v>C1384G</v>
      </c>
    </row>
    <row r="39" spans="1:5" ht="24.95" customHeight="1" x14ac:dyDescent="0.25">
      <c r="A39" s="68" t="s">
        <v>71</v>
      </c>
      <c r="B39" s="69" t="s">
        <v>27</v>
      </c>
      <c r="C39" s="69" t="s">
        <v>28</v>
      </c>
      <c r="D39" s="67" t="s">
        <v>29</v>
      </c>
      <c r="E39" s="60" t="s">
        <v>30</v>
      </c>
    </row>
    <row r="40" spans="1:5" ht="24.95" customHeight="1" x14ac:dyDescent="0.25">
      <c r="A40" s="47" t="s">
        <v>53</v>
      </c>
      <c r="B40" s="70">
        <v>2</v>
      </c>
      <c r="C40" s="71">
        <f>IFERROR(IF(Calculator!$A$3=1,ROUNDUP(SUM(VLOOKUP(A40,GALLON55CONC[],3,FALSE)*$C$10*FULLBBALLCONC[[#This Row],[Column2]]),0),IF(Calculator!$A$3=2,ROUNDUP(SUM(VLOOKUP(A40,GALLON55CONC[],4,FALSE)*$C$10*FULLBBALLCONC[[#This Row],[Column2]]),0),IF(Calculator!$A$3=3,ROUNDUP(SUM(VLOOKUP(A40,GALLON55CONC[],5,FALSE)*$C$10*FULLBBALLCONC[[#This Row],[Column2]]),0),IF(Calculator!$A$3=4,ROUNDUP(SUM(VLOOKUP(A40,GALLON55CONC[],6,FALSE)*$C$10*FULLBBALLCONC[[#This Row],[Column2]]),0))))),"")</f>
        <v>2</v>
      </c>
      <c r="D40" s="61">
        <f>ROUNDUP(SUM(FULLBBALLCONC[[#This Row],[Column3]]/IF(Calculator!$A$2=1,5,IF(Calculator!$A$2=2,30,IF(Calculator!$A$2=3,55,"")))),0)</f>
        <v>1</v>
      </c>
      <c r="E40" s="39" t="str">
        <f>VLOOKUP(A40,GALLON55CONC[],2,0)&amp;IF(Calculator!$A$2=1,"P",IF(Calculator!$A$2=2,"K",IF(Calculator!$A$2=3,"D","")))</f>
        <v>C1360D</v>
      </c>
    </row>
    <row r="41" spans="1:5" ht="24.95" customHeight="1" x14ac:dyDescent="0.25">
      <c r="A41" s="47" t="s">
        <v>54</v>
      </c>
      <c r="B41" s="47"/>
      <c r="C41" s="71">
        <f>IF(Calculator!$A$2=1,(D40*35),IF(Calculator!$A$2=2,(D40*200),IF(Calculator!$A$2=3,(D40*400),"")))</f>
        <v>400</v>
      </c>
      <c r="D41" s="61" t="str">
        <f>ROUNDUP(SUM(FULLBBALLCONC[[#This Row],[Column3]]/50),0)&amp; " - 50 lbs. Bags"</f>
        <v>8 - 50 lbs. Bags</v>
      </c>
      <c r="E41" s="39" t="s">
        <v>55</v>
      </c>
    </row>
    <row r="42" spans="1:5" ht="24.95" customHeight="1" x14ac:dyDescent="0.25">
      <c r="A42" s="47" t="str">
        <f>Calculator!$B$32</f>
        <v>Blue ColorPlus</v>
      </c>
      <c r="B42" s="47"/>
      <c r="C42" s="61"/>
      <c r="D42" s="61" t="str">
        <f>IF(Calculator!$A$2=1,(D40*2),IF(Calculator!$A$2=2,(D40*2),IF(Calculator!$A$2=3,(D40*4),"")))&amp; IF(OR(Calculator!$A$2=2,Calculator!$A$2=3)," - 1 Gallon Pail(s)",IF(Calculator!$A$2=1," - 24 OZ Jar(s)"))</f>
        <v>4 - 1 Gallon Pail(s)</v>
      </c>
      <c r="E42" s="39" t="str">
        <f>IFERROR(IF(Calculator!$A$2=1,VLOOKUP(FULLBBALLCONC[[#This Row],[Column1]],OZ_JARS[],2,0),IF(OR(Calculator!$A$2=2,Calculator!$A$2=3),VLOOKUP(FULLBBALLCONC[[#This Row],[Column1]],'1 GALLON'!A2:G19,2,0),"")),"")</f>
        <v>C1384G</v>
      </c>
    </row>
    <row r="43" spans="1:5" ht="24.95" customHeight="1" x14ac:dyDescent="0.25">
      <c r="A43" s="68" t="s">
        <v>38</v>
      </c>
      <c r="B43" s="69" t="s">
        <v>27</v>
      </c>
      <c r="C43" s="69" t="s">
        <v>28</v>
      </c>
      <c r="D43" s="67" t="s">
        <v>29</v>
      </c>
      <c r="E43" s="60" t="s">
        <v>30</v>
      </c>
    </row>
    <row r="44" spans="1:5" ht="24.95" customHeight="1" x14ac:dyDescent="0.25">
      <c r="A44" s="72" t="s">
        <v>39</v>
      </c>
      <c r="B44" s="70"/>
      <c r="C44" s="39"/>
      <c r="D44" s="61"/>
      <c r="E44" s="39"/>
    </row>
    <row r="45" spans="1:5" ht="24.95" customHeight="1" x14ac:dyDescent="0.25">
      <c r="A45" s="47" t="s">
        <v>40</v>
      </c>
      <c r="B45" s="70">
        <v>3</v>
      </c>
      <c r="C45" s="71">
        <f>IFERROR(IF(Calculator!$A$3=1,ROUNDUP(SUM(VLOOKUP(A45,GALLON55CONC[],3,FALSE)*$C$3*FULLBBALLCONC[[#This Row],[Column2]]),0),IF(Calculator!$A$3=2,ROUNDUP(SUM(VLOOKUP(A45,GALLON55CONC[],4,FALSE)*$C$3*FULLBBALLCONC[[#This Row],[Column2]]),0),IF(Calculator!$A$3=3,ROUNDUP(SUM(VLOOKUP(A45,GALLON55CONC[],5,FALSE)*$C$3*FULLBBALLCONC[[#This Row],[Column2]]),0),IF(Calculator!$A$3=4,ROUNDUP(SUM(VLOOKUP(A45,GALLON55CONC[],6,FALSE)*$C$3*FULLBBALLCONC[[#This Row],[Column2]]),0))))),"")</f>
        <v>160</v>
      </c>
      <c r="D45" s="61">
        <f>ROUNDUP(SUM(FULLBBALLCONC[[#This Row],[Column3]]/IF(Calculator!$A$2=1,5,IF(Calculator!$A$2=2,30,IF(Calculator!$A$2=3,55,"")))),0)</f>
        <v>3</v>
      </c>
      <c r="E45" s="39" t="str">
        <f>VLOOKUP(A45,GALLON55CONC[],2,0)&amp;IF(Calculator!$A$2=1,"P",IF(Calculator!$A$2=2,"K",IF(Calculator!$A$2=3,"D","")))</f>
        <v>C1460D</v>
      </c>
    </row>
    <row r="46" spans="1:5" ht="24.95" customHeight="1" x14ac:dyDescent="0.25">
      <c r="A46" s="47" t="s">
        <v>41</v>
      </c>
      <c r="B46" s="70">
        <v>2</v>
      </c>
      <c r="C46" s="71">
        <f>IFERROR(IF(Calculator!$A$3=1,ROUNDUP(SUM(VLOOKUP(A46,GALLON55CONC[],3,FALSE)*$C$3*FULLBBALLCONC[[#This Row],[Column2]]),0),IF(Calculator!$A$3=2,ROUNDUP(SUM(VLOOKUP(A46,GALLON55CONC[],4,FALSE)*$C$3*FULLBBALLCONC[[#This Row],[Column2]]),0),IF(Calculator!$A$3=3,ROUNDUP(SUM(VLOOKUP(A46,GALLON55CONC[],5,FALSE)*$C$3*FULLBBALLCONC[[#This Row],[Column2]]),0),IF(Calculator!$A$3=4,ROUNDUP(SUM(VLOOKUP(A46,GALLON55CONC[],6,FALSE)*$C$3*FULLBBALLCONC[[#This Row],[Column2]]),0))))),"")</f>
        <v>72</v>
      </c>
      <c r="D46" s="61">
        <f>ROUNDUP(SUM(FULLBBALLCONC[[#This Row],[Column3]]/IF(Calculator!$A$2=1,5,IF(Calculator!$A$2=2,30,IF(Calculator!$A$2=3,55,"")))),0)</f>
        <v>2</v>
      </c>
      <c r="E46" s="39" t="str">
        <f>VLOOKUP(A46,GALLON55CONC[],2,0)&amp;IF(Calculator!$A$2=1,"P",IF(Calculator!$A$2=2,"K",IF(Calculator!$A$2=3,"D","")))</f>
        <v>C1450D</v>
      </c>
    </row>
    <row r="47" spans="1:5" ht="24.95" customHeight="1" x14ac:dyDescent="0.25">
      <c r="A47" s="72" t="s">
        <v>42</v>
      </c>
      <c r="B47" s="39"/>
      <c r="C47" s="39"/>
      <c r="D47" s="61"/>
      <c r="E47" s="39"/>
    </row>
    <row r="48" spans="1:5" ht="24.95" customHeight="1" x14ac:dyDescent="0.25">
      <c r="A48" s="47" t="s">
        <v>40</v>
      </c>
      <c r="B48" s="70">
        <v>5</v>
      </c>
      <c r="C48" s="71">
        <f>IFERROR(IF(Calculator!$A$3=1,ROUNDUP(SUM(VLOOKUP(A48,GALLON55CONC[],3,FALSE)*$C$3*FULLBBALLCONC[[#This Row],[Column2]]),0),IF(Calculator!$A$3=2,ROUNDUP(SUM(VLOOKUP(A48,GALLON55CONC[],4,FALSE)*$C$3*FULLBBALLCONC[[#This Row],[Column2]]),0),IF(Calculator!$A$3=3,ROUNDUP(SUM(VLOOKUP(A48,GALLON55CONC[],5,FALSE)*$C$3*FULLBBALLCONC[[#This Row],[Column2]]),0),IF(Calculator!$A$3=4,ROUNDUP(SUM(VLOOKUP(A48,GALLON55CONC[],6,FALSE)*$C$3*FULLBBALLCONC[[#This Row],[Column2]]),0))))),"")</f>
        <v>267</v>
      </c>
      <c r="D48" s="61">
        <f>ROUNDUP(SUM(FULLBBALLCONC[[#This Row],[Column3]]/IF(Calculator!$A$2=1,5,IF(Calculator!$A$2=2,30,IF(Calculator!$A$2=3,55,"")))),0)</f>
        <v>5</v>
      </c>
      <c r="E48" s="39" t="str">
        <f>VLOOKUP(A48,GALLON55CONC[],2,0)&amp;IF(Calculator!$A$2=1,"P",IF(Calculator!$A$2=2,"K",IF(Calculator!$A$2=3,"D","")))</f>
        <v>C1460D</v>
      </c>
    </row>
    <row r="49" spans="1:5" ht="24.95" customHeight="1" x14ac:dyDescent="0.25">
      <c r="A49" s="47" t="s">
        <v>41</v>
      </c>
      <c r="B49" s="70">
        <v>2</v>
      </c>
      <c r="C49" s="71">
        <f>IFERROR(IF(Calculator!$A$3=1,ROUNDUP(SUM(VLOOKUP(A49,GALLON55CONC[],3,FALSE)*$C$3*FULLBBALLCONC[[#This Row],[Column2]]),0),IF(Calculator!$A$3=2,ROUNDUP(SUM(VLOOKUP(A49,GALLON55CONC[],4,FALSE)*$C$3*FULLBBALLCONC[[#This Row],[Column2]]),0),IF(Calculator!$A$3=3,ROUNDUP(SUM(VLOOKUP(A49,GALLON55CONC[],5,FALSE)*$C$3*FULLBBALLCONC[[#This Row],[Column2]]),0),IF(Calculator!$A$3=4,ROUNDUP(SUM(VLOOKUP(A49,GALLON55CONC[],6,FALSE)*$C$3*FULLBBALLCONC[[#This Row],[Column2]]),0))))),"")</f>
        <v>72</v>
      </c>
      <c r="D49" s="61">
        <f>ROUNDUP(SUM(FULLBBALLCONC[[#This Row],[Column3]]/IF(Calculator!$A$2=1,5,IF(Calculator!$A$2=2,30,IF(Calculator!$A$2=3,55,"")))),0)</f>
        <v>2</v>
      </c>
      <c r="E49" s="39" t="str">
        <f>VLOOKUP(A49,GALLON55CONC[],2,0)&amp;IF(Calculator!$A$2=1,"P",IF(Calculator!$A$2=2,"K",IF(Calculator!$A$2=3,"D","")))</f>
        <v>C1450D</v>
      </c>
    </row>
    <row r="50" spans="1:5" ht="24.95" customHeight="1" x14ac:dyDescent="0.25">
      <c r="A50" s="68" t="s">
        <v>43</v>
      </c>
      <c r="B50" s="69" t="s">
        <v>27</v>
      </c>
      <c r="C50" s="69" t="s">
        <v>28</v>
      </c>
      <c r="D50" s="39"/>
      <c r="E50" s="60" t="s">
        <v>30</v>
      </c>
    </row>
    <row r="51" spans="1:5" ht="24.95" customHeight="1" x14ac:dyDescent="0.25">
      <c r="A51" s="47" t="s">
        <v>44</v>
      </c>
      <c r="B51" s="70">
        <v>1</v>
      </c>
      <c r="C51" s="70">
        <f>ROUNDUP(CEILING(B4/2, 1),0)</f>
        <v>1</v>
      </c>
      <c r="D51" s="39">
        <f>FULLBBALLCONC[[#This Row],[Column3]]</f>
        <v>1</v>
      </c>
      <c r="E51" s="39" t="str">
        <f>VLOOKUP(A51,GALLON55CONC[],2,0)</f>
        <v>C1610G</v>
      </c>
    </row>
    <row r="52" spans="1:5" ht="24.95" customHeight="1" x14ac:dyDescent="0.25">
      <c r="A52" s="47" t="s">
        <v>45</v>
      </c>
      <c r="B52" s="70">
        <v>1</v>
      </c>
      <c r="C52" s="70">
        <f>ROUNDUP(CEILING(B4/2, 1),0)</f>
        <v>1</v>
      </c>
      <c r="D52" s="39">
        <f>FULLBBALLCONC[[#This Row],[Column3]]</f>
        <v>1</v>
      </c>
      <c r="E52" s="39" t="str">
        <f>VLOOKUP(A52,GALLON55CONC[],2,0)</f>
        <v>C1620G</v>
      </c>
    </row>
    <row r="53" spans="1:5" ht="24.95" customHeight="1" x14ac:dyDescent="0.25">
      <c r="A53" s="68" t="s">
        <v>46</v>
      </c>
      <c r="B53" s="68" t="s">
        <v>47</v>
      </c>
    </row>
    <row r="54" spans="1:5" ht="24.95" customHeight="1" x14ac:dyDescent="0.25">
      <c r="A54" s="47" t="s">
        <v>48</v>
      </c>
      <c r="B54" s="73">
        <f>ROUNDUP(SUM(4*B4),0)</f>
        <v>4</v>
      </c>
    </row>
  </sheetData>
  <sheetProtection algorithmName="SHA-512" hashValue="8JWfpDaMVBIiN3y2mXW5N1106BCS0CIeZWMHfL0xNMp+w/etKojWOo5iIrrTGxgTzCo53kDchLNe4BADB0FStQ==" saltValue="84JwYB8UbTMqvfgaCfHctg==" spinCount="100000" sheet="1" formatCells="0" formatColumns="0" formatRows="0" insertColumns="0" insertRows="0" insertHyperlinks="0" deleteColumns="0" deleteRows="0" sort="0" autoFilter="0" pivotTables="0"/>
  <phoneticPr fontId="9" type="noConversion"/>
  <conditionalFormatting sqref="B3">
    <cfRule type="cellIs" dxfId="69" priority="1" operator="equal">
      <formula>0</formula>
    </cfRule>
  </conditionalFormatting>
  <dataValidations count="1">
    <dataValidation type="list" allowBlank="1" showInputMessage="1" showErrorMessage="1" sqref="A1:C1 C3 C5:C10" xr:uid="{2B9DA851-7F5F-40DE-9981-156074A9AC49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6DE4-624E-4A2C-B3E7-3FFC9E13BB17}">
  <sheetPr codeName="Sheet3"/>
  <dimension ref="A1:E53"/>
  <sheetViews>
    <sheetView topLeftCell="A2" zoomScale="80" zoomScaleNormal="80" workbookViewId="0">
      <selection activeCell="C18" sqref="C18"/>
    </sheetView>
  </sheetViews>
  <sheetFormatPr defaultRowHeight="15" x14ac:dyDescent="0.25"/>
  <cols>
    <col min="1" max="1" width="40.7109375" customWidth="1"/>
    <col min="2" max="2" width="25" bestFit="1" customWidth="1"/>
    <col min="3" max="3" width="27.28515625" bestFit="1" customWidth="1"/>
    <col min="4" max="4" width="28.7109375" bestFit="1" customWidth="1"/>
    <col min="5" max="5" width="12.85546875" bestFit="1" customWidth="1"/>
  </cols>
  <sheetData>
    <row r="1" spans="1:5" ht="30" customHeight="1" thickBot="1" x14ac:dyDescent="0.3">
      <c r="A1" s="41"/>
      <c r="B1" s="42"/>
      <c r="C1" s="43"/>
    </row>
    <row r="2" spans="1:5" ht="24.95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5" ht="24.95" customHeight="1" thickBot="1" x14ac:dyDescent="0.3">
      <c r="A3" s="46" t="s">
        <v>8</v>
      </c>
      <c r="B3" s="62">
        <f>IF(Calculator!$A$5=1,SUM(Calculator!C5*Calculator!C6),IF(Calculator!$A$5=2,Calculator!C5,IF(Calculator!$A$5=3,SUM(Calculator!C5*9),IF(Calculator!$A$5=4,SUM(Calculator!C5*10.7639),""))))</f>
        <v>3200</v>
      </c>
      <c r="C3" s="56">
        <f>SUM(HALFBBALLREADY[[#This Row],[Column2]]/9)</f>
        <v>355.55555555555554</v>
      </c>
    </row>
    <row r="4" spans="1:5" ht="24.95" customHeight="1" thickBot="1" x14ac:dyDescent="0.3">
      <c r="A4" s="46" t="s">
        <v>9</v>
      </c>
      <c r="B4" s="65">
        <f>Calculator!D9</f>
        <v>1</v>
      </c>
      <c r="C4" s="56"/>
    </row>
    <row r="5" spans="1:5" ht="24.95" customHeight="1" thickBot="1" x14ac:dyDescent="0.3">
      <c r="A5" s="46" t="s">
        <v>66</v>
      </c>
      <c r="B5" s="62">
        <f>ROUNDUP(SUM(2100*B4),0)</f>
        <v>2100</v>
      </c>
      <c r="C5" s="56">
        <f>SUM(HALFBBALLREADY[[#This Row],[Column2]]/9)</f>
        <v>233.33333333333334</v>
      </c>
    </row>
    <row r="6" spans="1:5" ht="24.95" customHeight="1" thickBot="1" x14ac:dyDescent="0.3">
      <c r="A6" s="46" t="s">
        <v>67</v>
      </c>
      <c r="B6" s="62">
        <f>MAX(0,(B3-B5))</f>
        <v>1100</v>
      </c>
      <c r="C6" s="56">
        <f>SUM(HALFBBALLREADY[[#This Row],[Column2]]/9)</f>
        <v>122.22222222222223</v>
      </c>
    </row>
    <row r="7" spans="1:5" ht="24.95" customHeight="1" thickBot="1" x14ac:dyDescent="0.3">
      <c r="A7" s="46" t="s">
        <v>68</v>
      </c>
      <c r="B7" s="62">
        <f>ROUNDUP(SUM(612*B4),0)</f>
        <v>612</v>
      </c>
      <c r="C7" s="56">
        <f>SUM(HALFBBALLREADY[[#This Row],[Column2]]/9)</f>
        <v>68</v>
      </c>
    </row>
    <row r="8" spans="1:5" ht="24.95" customHeight="1" thickBot="1" x14ac:dyDescent="0.3">
      <c r="A8" s="47" t="s">
        <v>69</v>
      </c>
      <c r="B8" s="63">
        <f>ROUNDUP(SUM(228*B4),0)</f>
        <v>228</v>
      </c>
      <c r="C8" s="56">
        <f>SUM(HALFBBALLREADY[[#This Row],[Column2]]/9)</f>
        <v>25.333333333333332</v>
      </c>
    </row>
    <row r="9" spans="1:5" ht="24.95" customHeight="1" x14ac:dyDescent="0.25">
      <c r="A9" s="51" t="s">
        <v>70</v>
      </c>
      <c r="B9" s="64">
        <f>ROUNDUP(SUM(56.5*B4),0)</f>
        <v>57</v>
      </c>
      <c r="C9" s="56">
        <f>SUM(HALFBBALLREADY[[#This Row],[Column2]]/9)</f>
        <v>6.333333333333333</v>
      </c>
    </row>
    <row r="10" spans="1:5" ht="24.95" customHeight="1" thickBot="1" x14ac:dyDescent="0.3">
      <c r="A10" s="68" t="s">
        <v>12</v>
      </c>
      <c r="B10" s="69" t="s">
        <v>13</v>
      </c>
      <c r="C10" s="80" t="s">
        <v>14</v>
      </c>
      <c r="D10" s="60" t="s">
        <v>15</v>
      </c>
    </row>
    <row r="11" spans="1:5" ht="24.95" customHeight="1" thickBot="1" x14ac:dyDescent="0.3">
      <c r="A11" s="46" t="s">
        <v>16</v>
      </c>
      <c r="B11" s="79" t="s">
        <v>17</v>
      </c>
      <c r="C11" s="54" t="s">
        <v>18</v>
      </c>
      <c r="D11" s="39" t="s">
        <v>19</v>
      </c>
    </row>
    <row r="12" spans="1:5" ht="24.95" customHeight="1" thickBot="1" x14ac:dyDescent="0.3">
      <c r="A12" s="46" t="s">
        <v>20</v>
      </c>
      <c r="B12" s="79" t="s">
        <v>17</v>
      </c>
      <c r="C12" s="54" t="s">
        <v>21</v>
      </c>
      <c r="D12" s="39" t="s">
        <v>22</v>
      </c>
    </row>
    <row r="13" spans="1:5" ht="24.95" customHeight="1" thickBot="1" x14ac:dyDescent="0.3">
      <c r="A13" s="46" t="s">
        <v>23</v>
      </c>
      <c r="B13" s="79" t="s">
        <v>24</v>
      </c>
      <c r="C13" s="54" t="s">
        <v>21</v>
      </c>
      <c r="D13" s="39" t="s">
        <v>25</v>
      </c>
    </row>
    <row r="14" spans="1:5" ht="24.95" customHeight="1" thickBot="1" x14ac:dyDescent="0.3">
      <c r="A14" s="68" t="s">
        <v>26</v>
      </c>
      <c r="B14" s="69" t="s">
        <v>27</v>
      </c>
      <c r="C14" s="69" t="s">
        <v>28</v>
      </c>
      <c r="D14" s="67" t="s">
        <v>29</v>
      </c>
      <c r="E14" s="60" t="s">
        <v>30</v>
      </c>
    </row>
    <row r="15" spans="1:5" ht="24.95" customHeight="1" thickBot="1" x14ac:dyDescent="0.3">
      <c r="A15" s="46" t="s">
        <v>31</v>
      </c>
      <c r="B15" s="70" t="str">
        <f>IF(OR(Calculator!$A$3=1,Calculator!$A$3=3),1,IF(OR(Calculator!$A$3=2,Calculator!$A$3=4),""))</f>
        <v/>
      </c>
      <c r="C15" s="71" t="str">
        <f>IFERROR(IF(Calculator!$A$3=1,ROUNDUP(SUM(VLOOKUP(A15,GALLON55READY[],3,FALSE)*$C$3*HALFBBALLREADY[[#This Row],[Column2]]),0),IF(Calculator!$A$3=2,ROUNDUP(SUM(VLOOKUP(A15,GALLON55READY[],4,FALSE)*$C$3*HALFBBALLREADY[[#This Row],[Column2]]),0),IF(Calculator!$A$3=3,ROUNDUP(SUM(VLOOKUP(A15,GALLON55READY[],5,FALSE)*$C$3*HALFBBALLREADY[[#This Row],[Column2]]),0),IF(Calculator!$A$3=4,ROUNDUP(SUM(VLOOKUP(A15,GALLON55READY[],6,FALSE)*$C$3*HALFBBALLREADY[[#This Row],[Column2]]),0))))),"")</f>
        <v/>
      </c>
      <c r="D15" s="82" t="str">
        <f>IFERROR(ROUNDUP(SUM(HALFBBALLREADY[[#This Row],[Column3]]/IF(Calculator!$A$2=1,5,IF(Calculator!$A$2=2,30,IF(Calculator!$A$2=3,55,"")))),0),"")</f>
        <v/>
      </c>
      <c r="E15" s="61" t="str">
        <f>VLOOKUP(A15,GALLON55READY[],2,0)&amp;IF(Calculator!$A$2=1,"P",IF(Calculator!$A$2=2,"K",IF(Calculator!$A$2=3,"D","")))</f>
        <v>C1650D</v>
      </c>
    </row>
    <row r="16" spans="1:5" ht="24.95" customHeight="1" x14ac:dyDescent="0.25">
      <c r="A16" s="47" t="s">
        <v>32</v>
      </c>
      <c r="B16" s="70">
        <f>IF(OR(Calculator!$A$3=3,Calculator!$A$3=4,Calculator!$A$3=1),1,IF(Calculator!$A$3=2,2,""))</f>
        <v>2</v>
      </c>
      <c r="C16" s="71">
        <f>IFERROR(IF(Calculator!$A$3=1,ROUNDUP(SUM(VLOOKUP(A16,GALLON55READY[],3,FALSE)*$C$3*HALFBBALLREADY[[#This Row],[Column2]]),0),IF(Calculator!$A$3=2,ROUNDUP(SUM(VLOOKUP(A16,GALLON55READY[],4,FALSE)*$C$3*HALFBBALLREADY[[#This Row],[Column2]]),0),IF(Calculator!$A$3=3,ROUNDUP(SUM(VLOOKUP(A16,GALLON55READY[],5,FALSE)*$C$3*HALFBBALLREADY[[#This Row],[Column2]]),0),IF(Calculator!$A$3=4,ROUNDUP(SUM(VLOOKUP(A16,GALLON55READY[],6,FALSE)*$C$3*HALFBBALLREADY[[#This Row],[Column2]]),0))))),"")</f>
        <v>93</v>
      </c>
      <c r="D16" s="61">
        <f>ROUNDUP(SUM(HALFBBALLREADY[[#This Row],[Column3]]/IF(Calculator!$A$2=1,5,IF(Calculator!$A$2=2,30,IF(Calculator!$A$2=3,55,"")))),0)</f>
        <v>2</v>
      </c>
      <c r="E16" s="61" t="str">
        <f>VLOOKUP(A16,GALLON55READY[],2,0)&amp;IF(Calculator!$A$2=1,"P",IF(Calculator!$A$2=2,"K",IF(Calculator!$A$2=3,"D","")))</f>
        <v>C1330D</v>
      </c>
    </row>
    <row r="17" spans="1:5" ht="24.95" customHeight="1" x14ac:dyDescent="0.25">
      <c r="A17" s="68" t="s">
        <v>72</v>
      </c>
      <c r="B17" s="69" t="s">
        <v>27</v>
      </c>
      <c r="C17" s="69" t="s">
        <v>28</v>
      </c>
      <c r="D17" s="67" t="s">
        <v>29</v>
      </c>
      <c r="E17" s="60" t="s">
        <v>30</v>
      </c>
    </row>
    <row r="18" spans="1:5" ht="24.95" customHeight="1" x14ac:dyDescent="0.25">
      <c r="A18" s="47" t="s">
        <v>34</v>
      </c>
      <c r="B18" s="70">
        <v>2</v>
      </c>
      <c r="C18" s="71">
        <f>IFERROR(IF(Calculator!$A$3=1,ROUNDUP(SUM(VLOOKUP(A18,GALLON55READY[],3,FALSE)*$C$5*HALFBBALLREADY[[#This Row],[Column2]]),0),IF(Calculator!$A$3=2,ROUNDUP(SUM(VLOOKUP(A18,GALLON55READY[],4,FALSE)*$C$5*HALFBBALLREADY[[#This Row],[Column2]]),0),IF(Calculator!$A$3=3,ROUNDUP(SUM(VLOOKUP(A18,GALLON55READY[],5,FALSE)*$C$5*HALFBBALLREADY[[#This Row],[Column2]]),0),IF(Calculator!$A$3=4,ROUNDUP(SUM(VLOOKUP(A18,GALLON55READY[],6,FALSE)*$C$5*HALFBBALLREADY[[#This Row],[Column2]]),0))))),"")</f>
        <v>42</v>
      </c>
      <c r="D18" s="61">
        <f>ROUNDUP(SUM(HALFBBALLREADY[[#This Row],[Column3]]/IF(Calculator!$A$2=1,5,IF(Calculator!$A$2=2,30,IF(Calculator!$A$2=3,55,"")))),0)</f>
        <v>1</v>
      </c>
      <c r="E18" s="61" t="str">
        <f>VLOOKUP(A18,GALLON55READY[],2,0)&amp;IF(Calculator!$A$2=1,"P",IF(Calculator!$A$2=2,"K",IF(Calculator!$A$2=3,"D","")))</f>
        <v>C1365D</v>
      </c>
    </row>
    <row r="19" spans="1:5" ht="24.95" customHeight="1" x14ac:dyDescent="0.25">
      <c r="A19" s="47" t="str">
        <f>Calculator!$B$22</f>
        <v>Light Blue ColorPlus</v>
      </c>
      <c r="B19" s="70"/>
      <c r="C19" s="71"/>
      <c r="D19" s="61" t="str">
        <f>IF(Calculator!$A$2=1,(D18*2),IF(Calculator!$A$2=2,(D18*2),IF(Calculator!$A$2=3,(D18*4),"")))&amp;IF(OR(Calculator!$A$2=2,Calculator!$A$2=3)," - 1 Gallon Pail(s)",IF(Calculator!$A$2=1," - 24 OZ Jar(s)"))</f>
        <v>4 - 1 Gallon Pail(s)</v>
      </c>
      <c r="E19" s="61" t="str">
        <f>IFERROR(IF(Calculator!$A$2=1,VLOOKUP(HALFBBALLREADY[[#This Row],[Column1]],OZ_JARS[],2,0),IF(OR(Calculator!$A$2=2,Calculator!$A$2=3),VLOOKUP(HALFBBALLREADY[[#This Row],[Column1]],'1 GALLON'!A2:G19,2,0),"")),"")</f>
        <v>C1385G</v>
      </c>
    </row>
    <row r="20" spans="1:5" ht="24.95" customHeight="1" x14ac:dyDescent="0.25">
      <c r="A20" s="47" t="s">
        <v>36</v>
      </c>
      <c r="B20" s="70">
        <v>2</v>
      </c>
      <c r="C20" s="71">
        <f>IFERROR(IF(Calculator!$A$3=1,ROUNDUP(SUM(VLOOKUP(A20,GALLON55READY[],3,FALSE)*$C$5*HALFBBALLREADY[[#This Row],[Column2]]),0),IF(Calculator!$A$3=2,ROUNDUP(SUM(VLOOKUP(A20,GALLON55READY[],4,FALSE)*$C$5*HALFBBALLREADY[[#This Row],[Column2]]),0),IF(Calculator!$A$3=3,ROUNDUP(SUM(VLOOKUP(A20,GALLON55READY[],5,FALSE)*$C$5*HALFBBALLREADY[[#This Row],[Column2]]),0),IF(Calculator!$A$3=4,ROUNDUP(SUM(VLOOKUP(A20,GALLON55READY[],6,FALSE)*$C$5*HALFBBALLREADY[[#This Row],[Column2]]),0))))),"")</f>
        <v>52</v>
      </c>
      <c r="D20" s="61">
        <f>ROUNDUP(SUM(HALFBBALLREADY[[#This Row],[Column3]]/5),0)</f>
        <v>11</v>
      </c>
      <c r="E20" s="61" t="str">
        <f>VLOOKUP(A20,GALLON55READY[],2,0)</f>
        <v>C1285P</v>
      </c>
    </row>
    <row r="21" spans="1:5" ht="24.95" customHeight="1" x14ac:dyDescent="0.25">
      <c r="A21" s="47" t="str">
        <f>Calculator!$B$22</f>
        <v>Light Blue ColorPlus</v>
      </c>
      <c r="B21" s="70"/>
      <c r="C21" s="71"/>
      <c r="D21" s="61" t="str">
        <f>SUM(D20*1)&amp; IF(OR(A20="Ready-Mix Color",A20="PickleMaster RTU")," - 24 OZ Jar(s)","")</f>
        <v>11 - 24 OZ Jar(s)</v>
      </c>
      <c r="E21" s="61" t="str">
        <f>IFERROR(IF(OR(A20="Ready-Mix Color",A20="PickleMaster RTU"),VLOOKUP(HALFBBALLREADY[[#This Row],[Column1]],OZ_JARS[],2,0)),"")</f>
        <v>C1385J</v>
      </c>
    </row>
    <row r="22" spans="1:5" ht="24.95" customHeight="1" x14ac:dyDescent="0.25">
      <c r="A22" s="68" t="s">
        <v>73</v>
      </c>
      <c r="B22" s="69" t="s">
        <v>27</v>
      </c>
      <c r="C22" s="69" t="s">
        <v>28</v>
      </c>
      <c r="D22" s="67" t="s">
        <v>29</v>
      </c>
      <c r="E22" s="60" t="s">
        <v>30</v>
      </c>
    </row>
    <row r="23" spans="1:5" ht="24.95" customHeight="1" x14ac:dyDescent="0.25">
      <c r="A23" s="47" t="s">
        <v>34</v>
      </c>
      <c r="B23" s="70">
        <v>2</v>
      </c>
      <c r="C23" s="71">
        <f>IFERROR(IF(Calculator!$A$3=1,ROUNDUP(SUM(VLOOKUP(A23,GALLON55READY[],3,FALSE)*$C$6*HALFBBALLREADY[[#This Row],[Column2]]),0),IF(Calculator!$A$3=2,ROUNDUP(SUM(VLOOKUP(A23,GALLON55READY[],4,FALSE)*$C$6*HALFBBALLREADY[[#This Row],[Column2]]),0),IF(Calculator!$A$3=3,ROUNDUP(SUM(VLOOKUP(A23,GALLON55READY[],5,FALSE)*$C$6*HALFBBALLREADY[[#This Row],[Column2]]),0),IF(Calculator!$A$3=4,ROUNDUP(SUM(VLOOKUP(A23,GALLON55READY[],6,FALSE)*$C$6*HALFBBALLREADY[[#This Row],[Column2]]),0))))),"")</f>
        <v>22</v>
      </c>
      <c r="D23" s="61">
        <f>ROUNDUP(SUM(HALFBBALLREADY[[#This Row],[Column3]]/IF(Calculator!$A$2=1,5,IF(Calculator!$A$2=2,30,IF(Calculator!$A$2=3,55,"")))),0)</f>
        <v>1</v>
      </c>
      <c r="E23" s="61" t="str">
        <f>VLOOKUP(A23,GALLON55READY[],2,0)&amp;IF(Calculator!$A$2=1,"P",IF(Calculator!$A$2=2,"K",IF(Calculator!$A$2=3,"D","")))</f>
        <v>C1365D</v>
      </c>
    </row>
    <row r="24" spans="1:5" ht="24.95" customHeight="1" x14ac:dyDescent="0.25">
      <c r="A24" s="47" t="str">
        <f>Calculator!$B$24</f>
        <v>Blue ColorPlus</v>
      </c>
      <c r="B24" s="70"/>
      <c r="C24" s="71"/>
      <c r="D24" s="61" t="str">
        <f>IF(Calculator!$A$2=1,(D23*2),IF(Calculator!$A$2=2,(D23*2),IF(Calculator!$A$2=3,(D23*4),"")))&amp;IF(OR(Calculator!$A$2=2,Calculator!$A$2=3)," - 1 Gallon Pail(s)",IF(Calculator!$A$2=1," - 24 OZ Jar(s)"))</f>
        <v>4 - 1 Gallon Pail(s)</v>
      </c>
      <c r="E24" s="61" t="str">
        <f>IFERROR(IF(Calculator!$A$2=1,VLOOKUP(HALFBBALLREADY[[#This Row],[Column1]],OZ_JARS[],2,0),IF(OR(Calculator!$A$2=2,Calculator!$A$2=3),VLOOKUP(HALFBBALLREADY[[#This Row],[Column1]],'1 GALLON'!A2:G19,2,0),"")),"")</f>
        <v>C1384G</v>
      </c>
    </row>
    <row r="25" spans="1:5" ht="24.95" customHeight="1" x14ac:dyDescent="0.25">
      <c r="A25" s="47" t="s">
        <v>36</v>
      </c>
      <c r="B25" s="70">
        <v>2</v>
      </c>
      <c r="C25" s="71">
        <f>IFERROR(IF(Calculator!$A$3=1,ROUNDUP(SUM(VLOOKUP(A25,GALLON55READY[],3,FALSE)*$C$6*HALFBBALLREADY[[#This Row],[Column2]]),0),IF(Calculator!$A$3=2,ROUNDUP(SUM(VLOOKUP(A25,GALLON55READY[],4,FALSE)*$C$6*HALFBBALLREADY[[#This Row],[Column2]]),0),IF(Calculator!$A$3=3,ROUNDUP(SUM(VLOOKUP(A25,GALLON55READY[],5,FALSE)*$C$6*HALFBBALLREADY[[#This Row],[Column2]]),0),IF(Calculator!$A$3=4,ROUNDUP(SUM(VLOOKUP(A25,GALLON55READY[],6,FALSE)*$C$6*HALFBBALLREADY[[#This Row],[Column2]]),0))))),"")</f>
        <v>27</v>
      </c>
      <c r="D25" s="61">
        <f>ROUNDUP(SUM(HALFBBALLREADY[[#This Row],[Column3]]/5),0)</f>
        <v>6</v>
      </c>
      <c r="E25" s="61" t="str">
        <f>VLOOKUP(A25,GALLON55READY[],2,0)</f>
        <v>C1285P</v>
      </c>
    </row>
    <row r="26" spans="1:5" ht="24.95" customHeight="1" x14ac:dyDescent="0.25">
      <c r="A26" s="47" t="str">
        <f>Calculator!$B$24</f>
        <v>Blue ColorPlus</v>
      </c>
      <c r="B26" s="70"/>
      <c r="C26" s="71"/>
      <c r="D26" s="61" t="str">
        <f>SUM(D25*1)&amp; IF(OR(A25="Ready-Mix Color",A25="PickleMaster RTU")," - 24 OZ Jar(s)","")</f>
        <v>6 - 24 OZ Jar(s)</v>
      </c>
      <c r="E26" s="61" t="str">
        <f>IFERROR(IF(OR(A25="Ready-Mix Color",A25="PickleMaster RTU"),VLOOKUP(HALFBBALLREADY[[#This Row],[Column1]],OZ_JARS[],2,0)),"")</f>
        <v>C1384J</v>
      </c>
    </row>
    <row r="27" spans="1:5" ht="24.95" customHeight="1" x14ac:dyDescent="0.25">
      <c r="A27" s="68" t="s">
        <v>74</v>
      </c>
      <c r="B27" s="69" t="s">
        <v>27</v>
      </c>
      <c r="C27" s="69" t="s">
        <v>28</v>
      </c>
      <c r="D27" s="67" t="s">
        <v>29</v>
      </c>
      <c r="E27" s="60" t="s">
        <v>30</v>
      </c>
    </row>
    <row r="28" spans="1:5" ht="24.95" customHeight="1" x14ac:dyDescent="0.25">
      <c r="A28" s="47" t="s">
        <v>34</v>
      </c>
      <c r="B28" s="70">
        <v>2</v>
      </c>
      <c r="C28" s="71">
        <f>IFERROR(IF(Calculator!$A$3=1,ROUNDUP(SUM(VLOOKUP(A28,GALLON55READY[],3,FALSE)*$C$7*HALFBBALLREADY[[#This Row],[Column2]]),0),IF(Calculator!$A$3=2,ROUNDUP(SUM(VLOOKUP(A28,GALLON55READY[],4,FALSE)*$C$7*HALFBBALLREADY[[#This Row],[Column2]]),0),IF(Calculator!$A$3=3,ROUNDUP(SUM(VLOOKUP(A28,GALLON55READY[],5,FALSE)*$C$7*HALFBBALLREADY[[#This Row],[Column2]]),0),IF(Calculator!$A$3=4,ROUNDUP(SUM(VLOOKUP(A28,GALLON55READY[],6,FALSE)*$C$7*HALFBBALLREADY[[#This Row],[Column2]]),0))))),"")</f>
        <v>13</v>
      </c>
      <c r="D28" s="61">
        <f>ROUNDUP(SUM(HALFBBALLREADY[[#This Row],[Column3]]/IF(Calculator!$A$2=1,5,IF(Calculator!$A$2=2,30,IF(Calculator!$A$2=3,55,"")))),0)</f>
        <v>1</v>
      </c>
      <c r="E28" s="61" t="str">
        <f>VLOOKUP(A28,GALLON55READY[],2,0)&amp;IF(Calculator!$A$2=1,"P",IF(Calculator!$A$2=2,"K",IF(Calculator!$A$2=3,"D","")))</f>
        <v>C1365D</v>
      </c>
    </row>
    <row r="29" spans="1:5" ht="24.95" customHeight="1" x14ac:dyDescent="0.25">
      <c r="A29" s="47" t="str">
        <f>Calculator!$B$26</f>
        <v>Blue ColorPlus</v>
      </c>
      <c r="B29" s="70"/>
      <c r="C29" s="71"/>
      <c r="D29" s="61" t="str">
        <f>IF(Calculator!$A$2=1,(D28*2),IF(Calculator!$A$2=2,(D28*2),IF(Calculator!$A$2=3,(D28*4),"")))&amp;IF(OR(Calculator!$A$2=2,Calculator!$A$2=3)," - 1 Gallon Pail(s)",IF(Calculator!$A$2=1," - 24 OZ Jar(s)"))</f>
        <v>4 - 1 Gallon Pail(s)</v>
      </c>
      <c r="E29" s="61" t="str">
        <f>IFERROR(IF(Calculator!$A$2=1,VLOOKUP(HALFBBALLREADY[[#This Row],[Column1]],OZ_JARS[],2,0),IF(OR(Calculator!$A$2=2,Calculator!$A$2=3),VLOOKUP(HALFBBALLREADY[[#This Row],[Column1]],'1 GALLON'!A2:G19,2,0),"")),"")</f>
        <v>C1384G</v>
      </c>
    </row>
    <row r="30" spans="1:5" ht="24.95" customHeight="1" x14ac:dyDescent="0.25">
      <c r="A30" s="47" t="s">
        <v>36</v>
      </c>
      <c r="B30" s="70">
        <v>2</v>
      </c>
      <c r="C30" s="71">
        <f>IFERROR(IF(Calculator!$A$3=1,ROUNDUP(SUM(VLOOKUP(A30,GALLON55READY[],3,FALSE)*$C$7*HALFBBALLREADY[[#This Row],[Column2]]),0),IF(Calculator!$A$3=2,ROUNDUP(SUM(VLOOKUP(A30,GALLON55READY[],4,FALSE)*$C$7*HALFBBALLREADY[[#This Row],[Column2]]),0),IF(Calculator!$A$3=3,ROUNDUP(SUM(VLOOKUP(A30,GALLON55READY[],5,FALSE)*$C$7*HALFBBALLREADY[[#This Row],[Column2]]),0),IF(Calculator!$A$3=4,ROUNDUP(SUM(VLOOKUP(A30,GALLON55READY[],6,FALSE)*$C$7*HALFBBALLREADY[[#This Row],[Column2]]),0))))),"")</f>
        <v>15</v>
      </c>
      <c r="D30" s="61">
        <f>ROUNDUP(SUM(HALFBBALLREADY[[#This Row],[Column3]]/5),0)</f>
        <v>3</v>
      </c>
      <c r="E30" s="61" t="str">
        <f>VLOOKUP(A30,GALLON55READY[],2,0)</f>
        <v>C1285P</v>
      </c>
    </row>
    <row r="31" spans="1:5" ht="24.95" customHeight="1" x14ac:dyDescent="0.25">
      <c r="A31" s="47" t="str">
        <f>Calculator!$B$26</f>
        <v>Blue ColorPlus</v>
      </c>
      <c r="B31" s="70"/>
      <c r="C31" s="71"/>
      <c r="D31" s="61" t="str">
        <f>SUM(D30*1)&amp; IF(OR(A30="Ready-Mix Color",A30="PickleMaster RTU")," - 24 OZ Jar(s)","")</f>
        <v>3 - 24 OZ Jar(s)</v>
      </c>
      <c r="E31" s="61" t="str">
        <f>IFERROR(IF(OR(A30="Ready-Mix Color",A30="PickleMaster RTU"),VLOOKUP(HALFBBALLREADY[[#This Row],[Column1]],OZ_JARS[],2,0)),"")</f>
        <v>C1384J</v>
      </c>
    </row>
    <row r="32" spans="1:5" ht="24.95" customHeight="1" x14ac:dyDescent="0.25">
      <c r="A32" s="72" t="s">
        <v>75</v>
      </c>
      <c r="B32" s="69" t="s">
        <v>27</v>
      </c>
      <c r="C32" s="69" t="s">
        <v>28</v>
      </c>
      <c r="D32" s="67" t="s">
        <v>29</v>
      </c>
      <c r="E32" s="60" t="s">
        <v>30</v>
      </c>
    </row>
    <row r="33" spans="1:5" ht="24.95" customHeight="1" x14ac:dyDescent="0.25">
      <c r="A33" s="47" t="s">
        <v>34</v>
      </c>
      <c r="B33" s="70">
        <v>2</v>
      </c>
      <c r="C33" s="71">
        <f>IFERROR(IF(Calculator!$A$3=1,ROUNDUP(SUM(VLOOKUP(A33,GALLON55READY[],3,FALSE)*$C$8*HALFBBALLREADY[[#This Row],[Column2]]),0),IF(Calculator!$A$3=2,ROUNDUP(SUM(VLOOKUP(A33,GALLON55READY[],4,FALSE)*$C$8*HALFBBALLREADY[[#This Row],[Column2]]),0),IF(Calculator!$A$3=3,ROUNDUP(SUM(VLOOKUP(A33,GALLON55READY[],5,FALSE)*$C$8*HALFBBALLREADY[[#This Row],[Column2]]),0),IF(Calculator!$A$3=4,ROUNDUP(SUM(VLOOKUP(A33,GALLON55READY[],6,FALSE)*$C$8*HALFBBALLREADY[[#This Row],[Column2]]),0))))),"")</f>
        <v>5</v>
      </c>
      <c r="D33" s="61">
        <f>ROUNDUP(SUM(HALFBBALLREADY[[#This Row],[Column3]]/IF(Calculator!$A$2=1,5,IF(Calculator!$A$2=2,30,IF(Calculator!$A$2=3,55,"")))),0)</f>
        <v>1</v>
      </c>
      <c r="E33" s="61" t="str">
        <f>VLOOKUP(A33,GALLON55READY[],2,0)&amp;IF(Calculator!$A$2=1,"P",IF(Calculator!$A$2=2,"K",IF(Calculator!$A$2=3,"D","")))</f>
        <v>C1365D</v>
      </c>
    </row>
    <row r="34" spans="1:5" ht="24.95" customHeight="1" x14ac:dyDescent="0.25">
      <c r="A34" s="47" t="str">
        <f>Calculator!$B$28</f>
        <v>Light Blue ColorPlus</v>
      </c>
      <c r="B34" s="70"/>
      <c r="C34" s="71"/>
      <c r="D34" s="61" t="str">
        <f>IF(Calculator!$A$2=1,(D33*2),IF(Calculator!$A$2=2,(D33*2),IF(Calculator!$A$2=3,(D33*4),"")))&amp;IF(OR(Calculator!$A$2=2,Calculator!$A$2=3)," - 1 Gallon Pail(s)",IF(Calculator!$A$2=1," - 24 OZ Jar(s)"))</f>
        <v>4 - 1 Gallon Pail(s)</v>
      </c>
      <c r="E34" s="61" t="str">
        <f>IFERROR(IF(Calculator!$A$2=1,VLOOKUP(HALFBBALLREADY[[#This Row],[Column1]],OZ_JARS[],2,0),IF(OR(Calculator!$A$2=2,Calculator!$A$2=3),VLOOKUP(HALFBBALLREADY[[#This Row],[Column1]],'1 GALLON'!A2:G19,2,0),"")),"")</f>
        <v>C1385G</v>
      </c>
    </row>
    <row r="35" spans="1:5" ht="24.95" customHeight="1" x14ac:dyDescent="0.25">
      <c r="A35" s="47" t="s">
        <v>36</v>
      </c>
      <c r="B35" s="70">
        <v>2</v>
      </c>
      <c r="C35" s="71">
        <f>IFERROR(IF(Calculator!$A$3=1,ROUNDUP(SUM(VLOOKUP(A35,GALLON55READY[],3,FALSE)*$C$8*HALFBBALLREADY[[#This Row],[Column2]]),0),IF(Calculator!$A$3=2,ROUNDUP(SUM(VLOOKUP(A35,GALLON55READY[],4,FALSE)*$C$8*HALFBBALLREADY[[#This Row],[Column2]]),0),IF(Calculator!$A$3=3,ROUNDUP(SUM(VLOOKUP(A35,GALLON55READY[],5,FALSE)*$C$8*HALFBBALLREADY[[#This Row],[Column2]]),0),IF(Calculator!$A$3=4,ROUNDUP(SUM(VLOOKUP(A35,GALLON55READY[],6,FALSE)*$C$8*HALFBBALLREADY[[#This Row],[Column2]]),0))))),"")</f>
        <v>6</v>
      </c>
      <c r="D35" s="61">
        <f>ROUNDUP(SUM(HALFBBALLREADY[[#This Row],[Column3]]/5),0)</f>
        <v>2</v>
      </c>
      <c r="E35" s="61" t="str">
        <f>VLOOKUP(A35,GALLON55READY[],2,0)</f>
        <v>C1285P</v>
      </c>
    </row>
    <row r="36" spans="1:5" ht="24.95" customHeight="1" x14ac:dyDescent="0.25">
      <c r="A36" s="47" t="str">
        <f>Calculator!$B$28</f>
        <v>Light Blue ColorPlus</v>
      </c>
      <c r="B36" s="70"/>
      <c r="C36" s="71"/>
      <c r="D36" s="61" t="str">
        <f>SUM(D35*1)&amp; IF(OR(A35="Ready-Mix Color",A35="PickleMaster RTU")," - 24 OZ Jar(s)","")</f>
        <v>2 - 24 OZ Jar(s)</v>
      </c>
      <c r="E36" s="61" t="str">
        <f>IFERROR(IF(OR(A35="Ready-Mix Color",A35="PickleMaster RTU"),VLOOKUP(HALFBBALLREADY[[#This Row],[Column1]],OZ_JARS[],2,0)),"")</f>
        <v>C1385J</v>
      </c>
    </row>
    <row r="37" spans="1:5" ht="24.95" customHeight="1" x14ac:dyDescent="0.25">
      <c r="A37" s="72" t="s">
        <v>76</v>
      </c>
      <c r="B37" s="69" t="s">
        <v>27</v>
      </c>
      <c r="C37" s="69" t="s">
        <v>28</v>
      </c>
      <c r="D37" s="67" t="s">
        <v>29</v>
      </c>
      <c r="E37" s="60" t="s">
        <v>30</v>
      </c>
    </row>
    <row r="38" spans="1:5" ht="24.95" customHeight="1" x14ac:dyDescent="0.25">
      <c r="A38" s="47" t="s">
        <v>34</v>
      </c>
      <c r="B38" s="70">
        <v>2</v>
      </c>
      <c r="C38" s="71">
        <f>IFERROR(IF(Calculator!$A$3=1,ROUNDUP(SUM(VLOOKUP(A38,GALLON55READY[],3,FALSE)*$C$9*HALFBBALLREADY[[#This Row],[Column2]]),0),IF(Calculator!$A$3=2,ROUNDUP(SUM(VLOOKUP(A38,GALLON55READY[],4,FALSE)*$C$9*HALFBBALLREADY[[#This Row],[Column2]]),0),IF(Calculator!$A$3=3,ROUNDUP(SUM(VLOOKUP(A38,GALLON55READY[],5,FALSE)*$C$9*HALFBBALLREADY[[#This Row],[Column2]]),0),IF(Calculator!$A$3=4,ROUNDUP(SUM(VLOOKUP(A38,GALLON55READY[],6,FALSE)*$C$9*HALFBBALLREADY[[#This Row],[Column2]]),0))))),"")</f>
        <v>2</v>
      </c>
      <c r="D38" s="61">
        <f>ROUNDUP(SUM(HALFBBALLREADY[[#This Row],[Column3]]/IF(Calculator!$A$2=1,5,IF(Calculator!$A$2=2,30,IF(Calculator!$A$2=3,55,"")))),0)</f>
        <v>1</v>
      </c>
      <c r="E38" s="61" t="str">
        <f>VLOOKUP(A38,GALLON55READY[],2,0)&amp;IF(Calculator!$A$2=1,"P",IF(Calculator!$A$2=2,"K",IF(Calculator!$A$2=3,"D","")))</f>
        <v>C1365D</v>
      </c>
    </row>
    <row r="39" spans="1:5" ht="24.95" customHeight="1" x14ac:dyDescent="0.25">
      <c r="A39" s="47" t="str">
        <f>Calculator!$B$30</f>
        <v>Blue ColorPlus</v>
      </c>
      <c r="B39" s="70"/>
      <c r="C39" s="71"/>
      <c r="D39" s="61" t="str">
        <f>IF(Calculator!$A$2=1,(D38*2),IF(Calculator!$A$2=2,(D38*2),IF(Calculator!$A$2=3,(D38*4),"")))&amp;IF(OR(Calculator!$A$2=2,Calculator!$A$2=3)," - 1 Gallon Pail(s)",IF(Calculator!$A$2=1," - 24 OZ Jar(s)"))</f>
        <v>4 - 1 Gallon Pail(s)</v>
      </c>
      <c r="E39" s="61" t="str">
        <f>IFERROR(IF(Calculator!$A$2=1,VLOOKUP(HALFBBALLREADY[[#This Row],[Column1]],OZ_JARS[],2,0),IF(OR(Calculator!$A$2=2,Calculator!$A$2=3),VLOOKUP(HALFBBALLREADY[[#This Row],[Column1]],'1 GALLON'!A2:G19,2,0),"")),"")</f>
        <v>C1384G</v>
      </c>
    </row>
    <row r="40" spans="1:5" ht="24.95" customHeight="1" x14ac:dyDescent="0.25">
      <c r="A40" s="47" t="s">
        <v>36</v>
      </c>
      <c r="B40" s="70">
        <v>2</v>
      </c>
      <c r="C40" s="71">
        <f>IFERROR(IF(Calculator!$A$3=1,ROUNDUP(SUM(VLOOKUP(A40,GALLON55READY[],3,FALSE)*$C$9*HALFBBALLREADY[[#This Row],[Column2]]),0),IF(Calculator!$A$3=2,ROUNDUP(SUM(VLOOKUP(A40,GALLON55READY[],4,FALSE)*$C$9*HALFBBALLREADY[[#This Row],[Column2]]),0),IF(Calculator!$A$3=3,ROUNDUP(SUM(VLOOKUP(A40,GALLON55READY[],5,FALSE)*$C$9*HALFBBALLREADY[[#This Row],[Column2]]),0),IF(Calculator!$A$3=4,ROUNDUP(SUM(VLOOKUP(A40,GALLON55READY[],6,FALSE)*$C$9*HALFBBALLREADY[[#This Row],[Column2]]),0))))),"")</f>
        <v>2</v>
      </c>
      <c r="D40" s="61">
        <f>ROUNDUP(SUM(HALFBBALLREADY[[#This Row],[Column3]]/5),0)</f>
        <v>1</v>
      </c>
      <c r="E40" s="61" t="str">
        <f>VLOOKUP(A40,GALLON55READY[],2,0)</f>
        <v>C1285P</v>
      </c>
    </row>
    <row r="41" spans="1:5" ht="24.95" customHeight="1" x14ac:dyDescent="0.25">
      <c r="A41" s="47" t="str">
        <f>Calculator!$B$30</f>
        <v>Blue ColorPlus</v>
      </c>
      <c r="B41" s="70"/>
      <c r="C41" s="71"/>
      <c r="D41" s="61" t="str">
        <f>SUM(D40*1)&amp; IF(OR(A40="Ready-Mix Color",A40="PickleMaster RTU")," - 24 OZ Jar(s)","")</f>
        <v>1 - 24 OZ Jar(s)</v>
      </c>
      <c r="E41" s="61" t="str">
        <f>IFERROR(IF(OR(A40="Ready-Mix Color",A40="PickleMaster RTU"),VLOOKUP(HALFBBALLREADY[[#This Row],[Column1]],OZ_JARS[],2,0)),"")</f>
        <v>C1384J</v>
      </c>
    </row>
    <row r="42" spans="1:5" ht="24.95" customHeight="1" x14ac:dyDescent="0.25">
      <c r="A42" s="68" t="s">
        <v>38</v>
      </c>
      <c r="B42" s="69" t="s">
        <v>27</v>
      </c>
      <c r="C42" s="69" t="s">
        <v>28</v>
      </c>
      <c r="D42" s="67" t="s">
        <v>29</v>
      </c>
      <c r="E42" s="60" t="s">
        <v>30</v>
      </c>
    </row>
    <row r="43" spans="1:5" ht="24.95" customHeight="1" x14ac:dyDescent="0.25">
      <c r="A43" s="72" t="s">
        <v>39</v>
      </c>
      <c r="B43" s="70"/>
      <c r="C43" s="39"/>
      <c r="D43" s="61"/>
      <c r="E43" s="61"/>
    </row>
    <row r="44" spans="1:5" ht="24.95" customHeight="1" x14ac:dyDescent="0.25">
      <c r="A44" s="47" t="s">
        <v>40</v>
      </c>
      <c r="B44" s="70">
        <v>3</v>
      </c>
      <c r="C44" s="71">
        <f>IFERROR(IF(Calculator!$A$3=1,ROUNDUP(SUM(VLOOKUP(A44,GALLON55READY[],3,FALSE)*$C$3*HALFBBALLREADY[[#This Row],[Column2]]),0),IF(Calculator!$A$3=2,ROUNDUP(SUM(VLOOKUP(A44,GALLON55READY[],4,FALSE)*$C$3*HALFBBALLREADY[[#This Row],[Column2]]),0),IF(Calculator!$A$3=3,ROUNDUP(SUM(VLOOKUP(A44,GALLON55READY[],5,FALSE)*$C$3*HALFBBALLREADY[[#This Row],[Column2]]),0),IF(Calculator!$A$3=4,ROUNDUP(SUM(VLOOKUP(A44,GALLON55READY[],6,FALSE)*$C$3*HALFBBALLREADY[[#This Row],[Column2]]),0))))),"")</f>
        <v>160</v>
      </c>
      <c r="D44" s="61">
        <f>ROUNDUP(SUM(HALFBBALLREADY[[#This Row],[Column3]]/IF(Calculator!$A$2=1,5,IF(Calculator!$A$2=2,30,IF(Calculator!$A$2=3,55,"")))),0)</f>
        <v>3</v>
      </c>
      <c r="E44" s="61" t="str">
        <f>VLOOKUP(A44,GALLON55READY[],2,0)&amp;IF(Calculator!$A$2=1,"P",IF(Calculator!$A$2=2,"K",IF(Calculator!$A$2=3,"D","")))</f>
        <v>C1460D</v>
      </c>
    </row>
    <row r="45" spans="1:5" ht="24.95" customHeight="1" x14ac:dyDescent="0.25">
      <c r="A45" s="47" t="s">
        <v>41</v>
      </c>
      <c r="B45" s="70">
        <v>2</v>
      </c>
      <c r="C45" s="71">
        <f>IFERROR(IF(Calculator!$A$3=1,ROUNDUP(SUM(VLOOKUP(A45,GALLON55READY[],3,FALSE)*$C$3*HALFBBALLREADY[[#This Row],[Column2]]),0),IF(Calculator!$A$3=2,ROUNDUP(SUM(VLOOKUP(A45,GALLON55READY[],4,FALSE)*$C$3*HALFBBALLREADY[[#This Row],[Column2]]),0),IF(Calculator!$A$3=3,ROUNDUP(SUM(VLOOKUP(A45,GALLON55READY[],5,FALSE)*$C$3*HALFBBALLREADY[[#This Row],[Column2]]),0),IF(Calculator!$A$3=4,ROUNDUP(SUM(VLOOKUP(A45,GALLON55READY[],6,FALSE)*$C$3*HALFBBALLREADY[[#This Row],[Column2]]),0))))),"")</f>
        <v>72</v>
      </c>
      <c r="D45" s="61">
        <f>ROUNDUP(SUM(HALFBBALLREADY[[#This Row],[Column3]]/IF(Calculator!$A$2=1,5,IF(Calculator!$A$2=2,30,IF(Calculator!$A$2=3,55,"")))),0)</f>
        <v>2</v>
      </c>
      <c r="E45" s="61" t="str">
        <f>VLOOKUP(A45,GALLON55READY[],2,0)&amp;IF(Calculator!$A$2=1,"P",IF(Calculator!$A$2=2,"K",IF(Calculator!$A$2=3,"D","")))</f>
        <v>C1450D</v>
      </c>
    </row>
    <row r="46" spans="1:5" ht="24.95" customHeight="1" x14ac:dyDescent="0.25">
      <c r="A46" s="72" t="s">
        <v>42</v>
      </c>
      <c r="B46" s="39"/>
      <c r="C46" s="39"/>
      <c r="D46" s="61"/>
      <c r="E46" s="61"/>
    </row>
    <row r="47" spans="1:5" ht="24.95" customHeight="1" x14ac:dyDescent="0.25">
      <c r="A47" s="47" t="s">
        <v>40</v>
      </c>
      <c r="B47" s="70">
        <v>5</v>
      </c>
      <c r="C47" s="71">
        <f>IFERROR(IF(Calculator!$A$3=1,ROUNDUP(SUM(VLOOKUP(A47,GALLON55READY[],3,FALSE)*$C$3*HALFBBALLREADY[[#This Row],[Column2]]),0),IF(Calculator!$A$3=2,ROUNDUP(SUM(VLOOKUP(A47,GALLON55READY[],4,FALSE)*$C$3*HALFBBALLREADY[[#This Row],[Column2]]),0),IF(Calculator!$A$3=3,ROUNDUP(SUM(VLOOKUP(A47,GALLON55READY[],5,FALSE)*$C$3*HALFBBALLREADY[[#This Row],[Column2]]),0),IF(Calculator!$A$3=4,ROUNDUP(SUM(VLOOKUP(A47,GALLON55READY[],6,FALSE)*$C$3*HALFBBALLREADY[[#This Row],[Column2]]),0))))),"")</f>
        <v>267</v>
      </c>
      <c r="D47" s="61">
        <f>ROUNDUP(SUM(HALFBBALLREADY[[#This Row],[Column3]]/IF(Calculator!$A$2=1,5,IF(Calculator!$A$2=2,30,IF(Calculator!$A$2=3,55,"")))),0)</f>
        <v>5</v>
      </c>
      <c r="E47" s="61" t="str">
        <f>VLOOKUP(A47,GALLON55READY[],2,0)&amp;IF(Calculator!$A$2=1,"P",IF(Calculator!$A$2=2,"K",IF(Calculator!$A$2=3,"D","")))</f>
        <v>C1460D</v>
      </c>
    </row>
    <row r="48" spans="1:5" ht="24.95" customHeight="1" x14ac:dyDescent="0.25">
      <c r="A48" s="47" t="s">
        <v>41</v>
      </c>
      <c r="B48" s="70">
        <v>2</v>
      </c>
      <c r="C48" s="71">
        <f>IFERROR(IF(Calculator!$A$3=1,ROUNDUP(SUM(VLOOKUP(A48,GALLON55READY[],3,FALSE)*$C$3*HALFBBALLREADY[[#This Row],[Column2]]),0),IF(Calculator!$A$3=2,ROUNDUP(SUM(VLOOKUP(A48,GALLON55READY[],4,FALSE)*$C$3*HALFBBALLREADY[[#This Row],[Column2]]),0),IF(Calculator!$A$3=3,ROUNDUP(SUM(VLOOKUP(A48,GALLON55READY[],5,FALSE)*$C$3*HALFBBALLREADY[[#This Row],[Column2]]),0),IF(Calculator!$A$3=4,ROUNDUP(SUM(VLOOKUP(A48,GALLON55READY[],6,FALSE)*$C$3*HALFBBALLREADY[[#This Row],[Column2]]),0))))),"")</f>
        <v>72</v>
      </c>
      <c r="D48" s="61">
        <f>ROUNDUP(SUM(HALFBBALLREADY[[#This Row],[Column3]]/IF(Calculator!$A$2=1,5,IF(Calculator!$A$2=2,30,IF(Calculator!$A$2=3,55,"")))),0)</f>
        <v>2</v>
      </c>
      <c r="E48" s="61" t="str">
        <f>VLOOKUP(A48,GALLON55READY[],2,0)&amp;IF(Calculator!$A$2=1,"P",IF(Calculator!$A$2=2,"K",IF(Calculator!$A$2=3,"D","")))</f>
        <v>C1450D</v>
      </c>
    </row>
    <row r="49" spans="1:5" ht="24.95" customHeight="1" x14ac:dyDescent="0.25">
      <c r="A49" s="68" t="s">
        <v>43</v>
      </c>
      <c r="B49" s="69" t="s">
        <v>27</v>
      </c>
      <c r="C49" s="69" t="s">
        <v>28</v>
      </c>
      <c r="D49" s="39"/>
      <c r="E49" s="60" t="s">
        <v>30</v>
      </c>
    </row>
    <row r="50" spans="1:5" ht="24.95" customHeight="1" x14ac:dyDescent="0.25">
      <c r="A50" s="47" t="s">
        <v>44</v>
      </c>
      <c r="B50" s="70">
        <v>1</v>
      </c>
      <c r="C50" s="70">
        <f>ROUNDUP(CEILING(B4/2, 1),0)</f>
        <v>1</v>
      </c>
      <c r="D50" s="39">
        <f>HALFBBALLREADY[[#This Row],[Column3]]</f>
        <v>1</v>
      </c>
      <c r="E50" s="61" t="str">
        <f>VLOOKUP(A50,GALLON55READY[],2,0)</f>
        <v>C1610G</v>
      </c>
    </row>
    <row r="51" spans="1:5" ht="24.95" customHeight="1" x14ac:dyDescent="0.25">
      <c r="A51" s="47" t="s">
        <v>45</v>
      </c>
      <c r="B51" s="70">
        <v>1</v>
      </c>
      <c r="C51" s="70">
        <f>ROUNDUP(CEILING(B4/2, 1),0)</f>
        <v>1</v>
      </c>
      <c r="D51" s="39">
        <f>HALFBBALLREADY[[#This Row],[Column3]]</f>
        <v>1</v>
      </c>
      <c r="E51" s="61" t="str">
        <f>VLOOKUP(A51,GALLON55READY[],2,0)</f>
        <v>C1620G</v>
      </c>
    </row>
    <row r="52" spans="1:5" ht="24.95" customHeight="1" x14ac:dyDescent="0.25">
      <c r="A52" s="68" t="s">
        <v>46</v>
      </c>
      <c r="B52" s="69" t="s">
        <v>47</v>
      </c>
      <c r="C52" s="39"/>
      <c r="D52" s="39"/>
      <c r="E52" s="39"/>
    </row>
    <row r="53" spans="1:5" ht="24.95" customHeight="1" x14ac:dyDescent="0.25">
      <c r="A53" s="47" t="s">
        <v>48</v>
      </c>
      <c r="B53" s="73">
        <f>ROUNDUP(SUM(4*B4),0)</f>
        <v>4</v>
      </c>
      <c r="C53" s="39"/>
      <c r="D53" s="39"/>
      <c r="E53" s="39"/>
    </row>
  </sheetData>
  <sheetProtection formatCells="0" formatColumns="0" formatRows="0" insertColumns="0" insertRows="0" insertHyperlinks="0" deleteColumns="0" deleteRows="0" sort="0" autoFilter="0" pivotTables="0"/>
  <phoneticPr fontId="9" type="noConversion"/>
  <conditionalFormatting sqref="B3">
    <cfRule type="cellIs" dxfId="65" priority="1" operator="equal">
      <formula>0</formula>
    </cfRule>
  </conditionalFormatting>
  <dataValidations count="1">
    <dataValidation type="list" allowBlank="1" showInputMessage="1" showErrorMessage="1" sqref="A1:C1 C3:C9" xr:uid="{25999D24-DA3F-460B-BCE7-7F234200EED0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CE88-CCD4-4E3A-A4C5-79846D2C7490}">
  <sheetPr codeName="Sheet4"/>
  <dimension ref="A1:E49"/>
  <sheetViews>
    <sheetView topLeftCell="A30" zoomScale="80" zoomScaleNormal="80" workbookViewId="0">
      <selection activeCell="D25" sqref="D25"/>
    </sheetView>
  </sheetViews>
  <sheetFormatPr defaultRowHeight="15" x14ac:dyDescent="0.25"/>
  <cols>
    <col min="1" max="1" width="40.7109375" customWidth="1"/>
    <col min="2" max="2" width="25" bestFit="1" customWidth="1"/>
    <col min="3" max="3" width="27.28515625" bestFit="1" customWidth="1"/>
    <col min="4" max="4" width="28.7109375" bestFit="1" customWidth="1"/>
    <col min="5" max="5" width="12.85546875" bestFit="1" customWidth="1"/>
  </cols>
  <sheetData>
    <row r="1" spans="1:5" ht="30" customHeight="1" thickBot="1" x14ac:dyDescent="0.3">
      <c r="A1" s="41"/>
      <c r="B1" s="42"/>
      <c r="C1" s="43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5" ht="24.95" customHeight="1" thickBot="1" x14ac:dyDescent="0.3">
      <c r="A3" s="46" t="s">
        <v>8</v>
      </c>
      <c r="B3" s="62">
        <f>IF(Calculator!$A$5=1,SUM(Calculator!C5*Calculator!C6),IF(Calculator!$A$5=2,Calculator!C5,IF(Calculator!$A$5=3,SUM(Calculator!C5*9),IF(Calculator!$A$5=4,SUM(Calculator!C5*10.7639),""))))</f>
        <v>3200</v>
      </c>
      <c r="C3" s="56">
        <f>SUM(HALFBBALLREADY[[#This Row],[Column2]]/9)</f>
        <v>355.55555555555554</v>
      </c>
    </row>
    <row r="4" spans="1:5" ht="24.95" customHeight="1" thickBot="1" x14ac:dyDescent="0.3">
      <c r="A4" s="46" t="s">
        <v>9</v>
      </c>
      <c r="B4" s="65">
        <f>Calculator!D9</f>
        <v>1</v>
      </c>
      <c r="C4" s="56"/>
    </row>
    <row r="5" spans="1:5" ht="24.95" customHeight="1" thickBot="1" x14ac:dyDescent="0.3">
      <c r="A5" s="46" t="s">
        <v>66</v>
      </c>
      <c r="B5" s="62">
        <f>ROUNDUP(SUM(2100*B4),0)</f>
        <v>2100</v>
      </c>
      <c r="C5" s="56">
        <f>SUM(HALFBBALLREADY[[#This Row],[Column2]]/9)</f>
        <v>233.33333333333334</v>
      </c>
    </row>
    <row r="6" spans="1:5" ht="24.95" customHeight="1" thickBot="1" x14ac:dyDescent="0.3">
      <c r="A6" s="46" t="s">
        <v>67</v>
      </c>
      <c r="B6" s="62">
        <f>MAX(0,(B3-B5))</f>
        <v>1100</v>
      </c>
      <c r="C6" s="56">
        <f>SUM(HALFBBALLREADY[[#This Row],[Column2]]/9)</f>
        <v>122.22222222222223</v>
      </c>
    </row>
    <row r="7" spans="1:5" ht="24.95" customHeight="1" thickBot="1" x14ac:dyDescent="0.3">
      <c r="A7" s="46" t="s">
        <v>68</v>
      </c>
      <c r="B7" s="62">
        <f>ROUNDUP(SUM(612*B4),0)</f>
        <v>612</v>
      </c>
      <c r="C7" s="56">
        <f>SUM(HALFBBALLREADY[[#This Row],[Column2]]/9)</f>
        <v>68</v>
      </c>
    </row>
    <row r="8" spans="1:5" ht="24.95" customHeight="1" thickBot="1" x14ac:dyDescent="0.3">
      <c r="A8" s="47" t="s">
        <v>69</v>
      </c>
      <c r="B8" s="63">
        <f>ROUNDUP(SUM(228*B4),0)</f>
        <v>228</v>
      </c>
      <c r="C8" s="56">
        <f>SUM(HALFBBALLREADY[[#This Row],[Column2]]/9)</f>
        <v>25.333333333333332</v>
      </c>
    </row>
    <row r="9" spans="1:5" ht="24.95" customHeight="1" x14ac:dyDescent="0.25">
      <c r="A9" s="51" t="s">
        <v>70</v>
      </c>
      <c r="B9" s="64">
        <f>ROUNDUP(SUM(56.5*B4),0)</f>
        <v>57</v>
      </c>
      <c r="C9" s="56">
        <f>SUM(HALFBBALLREADY[[#This Row],[Column2]]/9)</f>
        <v>6.333333333333333</v>
      </c>
    </row>
    <row r="10" spans="1:5" ht="24.95" customHeight="1" thickBot="1" x14ac:dyDescent="0.3">
      <c r="A10" s="68" t="s">
        <v>12</v>
      </c>
      <c r="B10" s="69" t="s">
        <v>13</v>
      </c>
      <c r="C10" s="80" t="s">
        <v>14</v>
      </c>
      <c r="D10" s="60" t="s">
        <v>15</v>
      </c>
    </row>
    <row r="11" spans="1:5" ht="24.95" customHeight="1" thickBot="1" x14ac:dyDescent="0.3">
      <c r="A11" s="46" t="s">
        <v>16</v>
      </c>
      <c r="B11" s="79" t="s">
        <v>17</v>
      </c>
      <c r="C11" s="54" t="s">
        <v>18</v>
      </c>
      <c r="D11" s="39" t="s">
        <v>19</v>
      </c>
    </row>
    <row r="12" spans="1:5" ht="24.95" customHeight="1" thickBot="1" x14ac:dyDescent="0.3">
      <c r="A12" s="46" t="s">
        <v>20</v>
      </c>
      <c r="B12" s="79" t="s">
        <v>17</v>
      </c>
      <c r="C12" s="54" t="s">
        <v>21</v>
      </c>
      <c r="D12" s="39" t="s">
        <v>22</v>
      </c>
    </row>
    <row r="13" spans="1:5" ht="24.95" customHeight="1" thickBot="1" x14ac:dyDescent="0.3">
      <c r="A13" s="46" t="s">
        <v>23</v>
      </c>
      <c r="B13" s="79" t="s">
        <v>24</v>
      </c>
      <c r="C13" s="54" t="s">
        <v>21</v>
      </c>
      <c r="D13" s="39" t="s">
        <v>25</v>
      </c>
    </row>
    <row r="14" spans="1:5" ht="24.95" customHeight="1" thickBot="1" x14ac:dyDescent="0.3">
      <c r="A14" s="78" t="s">
        <v>26</v>
      </c>
      <c r="B14" s="69" t="s">
        <v>27</v>
      </c>
      <c r="C14" s="69" t="s">
        <v>28</v>
      </c>
      <c r="D14" s="67" t="s">
        <v>29</v>
      </c>
      <c r="E14" s="60" t="s">
        <v>30</v>
      </c>
    </row>
    <row r="15" spans="1:5" ht="24.95" customHeight="1" thickBot="1" x14ac:dyDescent="0.3">
      <c r="A15" s="46" t="s">
        <v>31</v>
      </c>
      <c r="B15" s="70" t="str">
        <f>IF(OR(Calculator!$A$3=1,Calculator!$A$3=3),1,IF(OR(Calculator!$A$3=2,Calculator!$A$3=4),""))</f>
        <v/>
      </c>
      <c r="C15" s="71" t="str">
        <f>IFERROR(IF(Calculator!$A$3=1,ROUNDUP(SUM(VLOOKUP(A15,GALLON55CONC[],3,FALSE)*$C$3*HALFBBALLCONC[[#This Row],[Column2]]),0),IF(Calculator!$A$3=2,ROUNDUP(SUM(VLOOKUP(A15,GALLON55CONC[],4,FALSE)*$C$3*HALFBBALLCONC[[#This Row],[Column2]]),0),IF(Calculator!$A$3=3,ROUNDUP(SUM(VLOOKUP(A15,GALLON55CONC[],5,FALSE)*$C$3*HALFBBALLCONC[[#This Row],[Column2]]),0),IF(Calculator!$A$3=4,ROUNDUP(SUM(VLOOKUP(A15,GALLON55CONC[],6,FALSE)*$C$3*HALFBBALLCONC[[#This Row],[Column2]]),0))))),"")</f>
        <v/>
      </c>
      <c r="D15" s="82" t="str">
        <f>IFERROR(ROUNDUP(SUM(HALFBBALLCONC[[#This Row],[Column3]]/IF(Calculator!$A$2=1,5,IF(Calculator!$A$2=2,30,IF(Calculator!$A$2=3,55,"")))),0),"")</f>
        <v/>
      </c>
      <c r="E15" s="61" t="str">
        <f>VLOOKUP(A15,GALLON55READY[],2,0)&amp;IF(Calculator!$A$2=1,"P",IF(Calculator!$A$2=2,"K",IF(Calculator!$A$2=3,"D","")))</f>
        <v>C1650D</v>
      </c>
    </row>
    <row r="16" spans="1:5" ht="24.95" customHeight="1" x14ac:dyDescent="0.25">
      <c r="A16" s="47" t="s">
        <v>50</v>
      </c>
      <c r="B16" s="70">
        <f>IF(OR(Calculator!$A$3=3,Calculator!$A$3=4,Calculator!$A$3=1),1,IF(Calculator!$A$3=2,2,""))</f>
        <v>2</v>
      </c>
      <c r="C16" s="71">
        <f>IFERROR(IF(Calculator!$A$3=1,ROUNDUP(SUM(VLOOKUP(A16,GALLON55CONC[],3,FALSE)*$C$3*HALFBBALLCONC[[#This Row],[Column2]]),0),IF(Calculator!$A$3=2,ROUNDUP(SUM(VLOOKUP(A16,GALLON55CONC[],4,FALSE)*$C$3*HALFBBALLCONC[[#This Row],[Column2]]),0),IF(Calculator!$A$3=3,ROUNDUP(SUM(VLOOKUP(A16,GALLON55CONC[],5,FALSE)*$C$3*HALFBBALLCONC[[#This Row],[Column2]]),0),IF(Calculator!$A$3=4,ROUNDUP(SUM(VLOOKUP(A16,GALLON55CONC[],6,FALSE)*$C$3*HALFBBALLCONC[[#This Row],[Column2]]),0))))),"")</f>
        <v>64</v>
      </c>
      <c r="D16" s="61">
        <f>ROUNDUP(SUM(HALFBBALLCONC[[#This Row],[Column3]]/IF(Calculator!$A$2=1,5,IF(Calculator!$A$2=2,30,IF(Calculator!$A$2=3,55,"")))),0)</f>
        <v>2</v>
      </c>
      <c r="E16" s="39" t="str">
        <f>VLOOKUP(A16,GALLON55CONC[],2,0)&amp;IF(Calculator!$A$2=1,"P",IF(Calculator!$A$2=2,"K",IF(Calculator!$A$2=3,"D","")))</f>
        <v>C1300D</v>
      </c>
    </row>
    <row r="17" spans="1:5" ht="24.95" customHeight="1" x14ac:dyDescent="0.25">
      <c r="A17" s="47" t="s">
        <v>51</v>
      </c>
      <c r="B17" s="47"/>
      <c r="C17" s="71">
        <f>IF(Calculator!$A$2=1,(D16*70),IF(Calculator!$A$2=2,(D16*400),IF(Calculator!$A$2=3,(D16*750),"")))</f>
        <v>1500</v>
      </c>
      <c r="D17" s="61" t="str">
        <f>ROUNDUP(SUM(HALFBBALLCONC[[#This Row],[Column3]]/50),0)&amp; " - 50 lbs. Bags"</f>
        <v>30 - 50 lbs. Bags</v>
      </c>
      <c r="E17" s="39" t="s">
        <v>52</v>
      </c>
    </row>
    <row r="18" spans="1:5" ht="24.95" customHeight="1" x14ac:dyDescent="0.25">
      <c r="A18" s="78" t="s">
        <v>66</v>
      </c>
      <c r="B18" s="69" t="s">
        <v>27</v>
      </c>
      <c r="C18" s="69" t="s">
        <v>28</v>
      </c>
      <c r="D18" s="67" t="s">
        <v>29</v>
      </c>
      <c r="E18" s="60" t="s">
        <v>30</v>
      </c>
    </row>
    <row r="19" spans="1:5" ht="24.95" customHeight="1" x14ac:dyDescent="0.25">
      <c r="A19" s="47" t="s">
        <v>53</v>
      </c>
      <c r="B19" s="70">
        <v>2</v>
      </c>
      <c r="C19" s="71">
        <f>IFERROR(IF(Calculator!$A$3=1,ROUNDUP(SUM(VLOOKUP(A19,GALLON55CONC[],3,FALSE)*$C$5*HALFBBALLCONC[[#This Row],[Column2]]),0),IF(Calculator!$A$3=2,ROUNDUP(SUM(VLOOKUP(A19,GALLON55CONC[],4,FALSE)*$C$5*HALFBBALLCONC[[#This Row],[Column2]]),0),IF(Calculator!$A$3=3,ROUNDUP(SUM(VLOOKUP(A19,GALLON55CONC[],5,FALSE)*$C$5*HALFBBALLCONC[[#This Row],[Column2]]),0),IF(Calculator!$A$3=4,ROUNDUP(SUM(VLOOKUP(A19,GALLON55CONC[],6,FALSE)*$C$5*HALFBBALLCONC[[#This Row],[Column2]]),0))))),"")</f>
        <v>33</v>
      </c>
      <c r="D19" s="61">
        <f>ROUNDUP(SUM(HALFBBALLCONC[[#This Row],[Column3]]/IF(Calculator!$A$2=1,5,IF(Calculator!$A$2=2,30,IF(Calculator!$A$2=3,55,"")))),0)</f>
        <v>1</v>
      </c>
      <c r="E19" s="39" t="str">
        <f>VLOOKUP(A19,GALLON55CONC[],2,0)&amp;IF(Calculator!$A$2=1,"P",IF(Calculator!$A$2=2,"K",IF(Calculator!$A$2=3,"D","")))</f>
        <v>C1360D</v>
      </c>
    </row>
    <row r="20" spans="1:5" ht="24.95" customHeight="1" x14ac:dyDescent="0.25">
      <c r="A20" s="47" t="s">
        <v>54</v>
      </c>
      <c r="B20" s="47"/>
      <c r="C20" s="71">
        <f>IF(Calculator!$A$2=1,(D19*35),IF(Calculator!$A$2=2,(D19*200),IF(Calculator!$A$2=3,(D19*400),"")))</f>
        <v>400</v>
      </c>
      <c r="D20" s="61" t="str">
        <f>ROUNDUP(SUM(HALFBBALLCONC[[#This Row],[Column3]]/50),0)&amp; " - 50 lbs. Bags"</f>
        <v>8 - 50 lbs. Bags</v>
      </c>
      <c r="E20" s="39" t="s">
        <v>55</v>
      </c>
    </row>
    <row r="21" spans="1:5" ht="24.95" customHeight="1" x14ac:dyDescent="0.25">
      <c r="A21" s="47" t="str">
        <f>Calculator!$B$22</f>
        <v>Light Blue ColorPlus</v>
      </c>
      <c r="B21" s="47"/>
      <c r="C21" s="61"/>
      <c r="D21" s="61" t="str">
        <f>IF(Calculator!$A$2=1,(D19*2),IF(Calculator!$A$2=2,(D19*2),IF(Calculator!$A$2=3,(D19*4),"")))&amp; IF(OR(Calculator!$A$2=2,Calculator!$A$2=3)," - 1 Gallon Pail(s)",IF(Calculator!$A$2=1," - 24 OZ Jar(s)"))</f>
        <v>4 - 1 Gallon Pail(s)</v>
      </c>
      <c r="E21" s="39" t="str">
        <f>IFERROR(IF(Calculator!$A$2=1,VLOOKUP(HALFBBALLCONC[[#This Row],[Column1]],OZ_JARS[],2,0),IF(OR(Calculator!$A$2=2,Calculator!$A$2=3),VLOOKUP(HALFBBALLCONC[[#This Row],[Column1]],'1 GALLON'!A2:G19,2,0),"")),"")</f>
        <v>C1385G</v>
      </c>
    </row>
    <row r="22" spans="1:5" ht="24.95" customHeight="1" x14ac:dyDescent="0.25">
      <c r="A22" s="78" t="s">
        <v>67</v>
      </c>
      <c r="B22" s="69" t="s">
        <v>27</v>
      </c>
      <c r="C22" s="69" t="s">
        <v>28</v>
      </c>
      <c r="D22" s="67" t="s">
        <v>29</v>
      </c>
      <c r="E22" s="60" t="s">
        <v>30</v>
      </c>
    </row>
    <row r="23" spans="1:5" ht="24.95" customHeight="1" x14ac:dyDescent="0.25">
      <c r="A23" s="47" t="s">
        <v>53</v>
      </c>
      <c r="B23" s="70">
        <v>2</v>
      </c>
      <c r="C23" s="71">
        <f>IFERROR(IF(Calculator!$A$3=1,ROUNDUP(SUM(VLOOKUP(A23,GALLON55CONC[],3,FALSE)*$C$6*HALFBBALLCONC[[#This Row],[Column2]]),0),IF(Calculator!$A$3=2,ROUNDUP(SUM(VLOOKUP(A23,GALLON55CONC[],4,FALSE)*$C$6*HALFBBALLCONC[[#This Row],[Column2]]),0),IF(Calculator!$A$3=3,ROUNDUP(SUM(VLOOKUP(A23,GALLON55CONC[],5,FALSE)*$C$6*HALFBBALLCONC[[#This Row],[Column2]]),0),IF(Calculator!$A$3=4,ROUNDUP(SUM(VLOOKUP(A23,GALLON55CONC[],6,FALSE)*$C$6*HALFBBALLCONC[[#This Row],[Column2]]),0))))),"")</f>
        <v>18</v>
      </c>
      <c r="D23" s="61">
        <f>ROUNDUP(SUM(HALFBBALLCONC[[#This Row],[Column3]]/IF(Calculator!$A$2=1,5,IF(Calculator!$A$2=2,30,IF(Calculator!$A$2=3,55,"")))),0)</f>
        <v>1</v>
      </c>
      <c r="E23" s="39" t="str">
        <f>VLOOKUP(A23,GALLON55CONC[],2,0)&amp;IF(Calculator!$A$2=1,"P",IF(Calculator!$A$2=2,"K",IF(Calculator!$A$2=3,"D","")))</f>
        <v>C1360D</v>
      </c>
    </row>
    <row r="24" spans="1:5" ht="24.95" customHeight="1" x14ac:dyDescent="0.25">
      <c r="A24" s="47" t="s">
        <v>54</v>
      </c>
      <c r="B24" s="47"/>
      <c r="C24" s="71">
        <f>IF(Calculator!$A$2=1,(D23*35),IF(Calculator!$A$2=2,(D23*200),IF(Calculator!$A$2=3,(D23*400),"")))</f>
        <v>400</v>
      </c>
      <c r="D24" s="61" t="str">
        <f>ROUNDUP(SUM(HALFBBALLCONC[[#This Row],[Column3]]/50),0)&amp; " - 50 lbs. Bags"</f>
        <v>8 - 50 lbs. Bags</v>
      </c>
      <c r="E24" s="39" t="s">
        <v>55</v>
      </c>
    </row>
    <row r="25" spans="1:5" ht="24.95" customHeight="1" x14ac:dyDescent="0.25">
      <c r="A25" s="47" t="str">
        <f>Calculator!$B$24</f>
        <v>Blue ColorPlus</v>
      </c>
      <c r="B25" s="47"/>
      <c r="C25" s="61"/>
      <c r="D25" s="61" t="str">
        <f>IF(Calculator!$A$2=1,(D23*2),IF(Calculator!$A$2=2,(D23*2),IF(Calculator!$A$2=3,(D23*4),"")))&amp; IF(OR(Calculator!$A$2=2,Calculator!$A$2=3)," - 1 Gallon Pail(s)",IF(Calculator!$A$2=1," - 24 OZ Jar(s)"))</f>
        <v>4 - 1 Gallon Pail(s)</v>
      </c>
      <c r="E25" s="39" t="str">
        <f>IFERROR(IF(Calculator!$A$2=1,VLOOKUP(HALFBBALLCONC[[#This Row],[Column1]],OZ_JARS[],2,0),IF(OR(Calculator!$A$2=2,Calculator!$A$2=3),VLOOKUP(HALFBBALLCONC[[#This Row],[Column1]],'1 GALLON'!$A$4:$G$20,2,0),"")),"")</f>
        <v>C1384G</v>
      </c>
    </row>
    <row r="26" spans="1:5" ht="24.95" customHeight="1" x14ac:dyDescent="0.25">
      <c r="A26" s="78" t="s">
        <v>68</v>
      </c>
      <c r="B26" s="69" t="s">
        <v>27</v>
      </c>
      <c r="C26" s="69" t="s">
        <v>28</v>
      </c>
      <c r="D26" s="67" t="s">
        <v>29</v>
      </c>
      <c r="E26" s="60" t="s">
        <v>30</v>
      </c>
    </row>
    <row r="27" spans="1:5" ht="24.95" customHeight="1" x14ac:dyDescent="0.25">
      <c r="A27" s="47" t="s">
        <v>53</v>
      </c>
      <c r="B27" s="70">
        <v>2</v>
      </c>
      <c r="C27" s="71">
        <f>IFERROR(IF(Calculator!$A$3=1,ROUNDUP(SUM(VLOOKUP(A27,GALLON55CONC[],3,FALSE)*$C$7*HALFBBALLCONC[[#This Row],[Column2]]),0),IF(Calculator!$A$3=2,ROUNDUP(SUM(VLOOKUP(A27,GALLON55CONC[],4,FALSE)*$C$7*HALFBBALLCONC[[#This Row],[Column2]]),0),IF(Calculator!$A$3=3,ROUNDUP(SUM(VLOOKUP(A27,GALLON55CONC[],5,FALSE)*$C$7*HALFBBALLCONC[[#This Row],[Column2]]),0),IF(Calculator!$A$3=4,ROUNDUP(SUM(VLOOKUP(A27,GALLON55CONC[],6,FALSE)*$C$7*HALFBBALLCONC[[#This Row],[Column2]]),0))))),"")</f>
        <v>10</v>
      </c>
      <c r="D27" s="61">
        <f>ROUNDUP(SUM(HALFBBALLCONC[[#This Row],[Column3]]/IF(Calculator!$A$2=1,5,IF(Calculator!$A$2=2,30,IF(Calculator!$A$2=3,55,"")))),0)</f>
        <v>1</v>
      </c>
      <c r="E27" s="39" t="str">
        <f>VLOOKUP(A27,GALLON55CONC[],2,0)&amp;IF(Calculator!$A$2=1,"P",IF(Calculator!$A$2=2,"K",IF(Calculator!$A$2=3,"D","")))</f>
        <v>C1360D</v>
      </c>
    </row>
    <row r="28" spans="1:5" ht="24.95" customHeight="1" x14ac:dyDescent="0.25">
      <c r="A28" s="47" t="s">
        <v>54</v>
      </c>
      <c r="B28" s="47"/>
      <c r="C28" s="71">
        <f>IF(Calculator!$A$2=1,(D27*35),IF(Calculator!$A$2=2,(D27*200),IF(Calculator!$A$2=3,(D27*400),"")))</f>
        <v>400</v>
      </c>
      <c r="D28" s="61" t="str">
        <f>ROUNDUP(SUM(HALFBBALLCONC[[#This Row],[Column3]]/50),0)&amp; " - 50 lbs. Bags"</f>
        <v>8 - 50 lbs. Bags</v>
      </c>
      <c r="E28" s="39" t="s">
        <v>55</v>
      </c>
    </row>
    <row r="29" spans="1:5" ht="24.95" customHeight="1" x14ac:dyDescent="0.25">
      <c r="A29" s="47" t="str">
        <f>Calculator!$B$26</f>
        <v>Blue ColorPlus</v>
      </c>
      <c r="B29" s="47"/>
      <c r="C29" s="61"/>
      <c r="D29" s="61" t="str">
        <f>IF(Calculator!$A$2=1,(D27*2),IF(Calculator!$A$2=2,(D27*2),IF(Calculator!$A$2=3,(D27*4),"")))&amp; IF(OR(Calculator!$A$2=2,Calculator!$A$2=3)," - 1 Gallon Pail(s)",IF(Calculator!$A$2=1," - 24 OZ Jar(s)"))</f>
        <v>4 - 1 Gallon Pail(s)</v>
      </c>
      <c r="E29" s="39" t="str">
        <f>IFERROR(IF(Calculator!$A$2=1,VLOOKUP(HALFBBALLCONC[[#This Row],[Column1]],OZ_JARS[],2,0),IF(OR(Calculator!$A$2=2,Calculator!$A$2=3),VLOOKUP(HALFBBALLCONC[[#This Row],[Column1]],'1 GALLON'!A2:G19,2,0),"")),"")</f>
        <v>C1384G</v>
      </c>
    </row>
    <row r="30" spans="1:5" ht="24.95" customHeight="1" x14ac:dyDescent="0.25">
      <c r="A30" s="78" t="s">
        <v>69</v>
      </c>
      <c r="B30" s="69" t="s">
        <v>27</v>
      </c>
      <c r="C30" s="69" t="s">
        <v>28</v>
      </c>
      <c r="D30" s="67" t="s">
        <v>29</v>
      </c>
      <c r="E30" s="60" t="s">
        <v>30</v>
      </c>
    </row>
    <row r="31" spans="1:5" ht="24.95" customHeight="1" x14ac:dyDescent="0.25">
      <c r="A31" s="47" t="s">
        <v>53</v>
      </c>
      <c r="B31" s="70">
        <v>2</v>
      </c>
      <c r="C31" s="71">
        <f>IFERROR(IF(Calculator!$A$3=1,ROUNDUP(SUM(VLOOKUP(A31,GALLON55CONC[],3,FALSE)*$C$8*HALFBBALLCONC[[#This Row],[Column2]]),0),IF(Calculator!$A$3=2,ROUNDUP(SUM(VLOOKUP(A31,GALLON55CONC[],4,FALSE)*$C$8*HALFBBALLCONC[[#This Row],[Column2]]),0),IF(Calculator!$A$3=3,ROUNDUP(SUM(VLOOKUP(A31,GALLON55CONC[],5,FALSE)*$C$8*HALFBBALLCONC[[#This Row],[Column2]]),0),IF(Calculator!$A$3=4,ROUNDUP(SUM(VLOOKUP(A31,GALLON55CONC[],6,FALSE)*$C$8*HALFBBALLCONC[[#This Row],[Column2]]),0))))),"")</f>
        <v>4</v>
      </c>
      <c r="D31" s="61">
        <f>ROUNDUP(SUM(HALFBBALLCONC[[#This Row],[Column3]]/IF(Calculator!$A$2=1,5,IF(Calculator!$A$2=2,30,IF(Calculator!$A$2=3,55,"")))),0)</f>
        <v>1</v>
      </c>
      <c r="E31" s="39" t="str">
        <f>VLOOKUP(A31,GALLON55CONC[],2,0)&amp;IF(Calculator!$A$2=1,"P",IF(Calculator!$A$2=2,"K",IF(Calculator!$A$2=3,"D","")))</f>
        <v>C1360D</v>
      </c>
    </row>
    <row r="32" spans="1:5" ht="24.95" customHeight="1" x14ac:dyDescent="0.25">
      <c r="A32" s="47" t="s">
        <v>54</v>
      </c>
      <c r="B32" s="47"/>
      <c r="C32" s="71">
        <f>IF(Calculator!$A$2=1,(D31*35),IF(Calculator!$A$2=2,(D31*200),IF(Calculator!$A$2=3,(D31*400),"")))</f>
        <v>400</v>
      </c>
      <c r="D32" s="61" t="str">
        <f>ROUNDUP(SUM(HALFBBALLCONC[[#This Row],[Column3]]/50),0)&amp; " - 50 lbs. Bags"</f>
        <v>8 - 50 lbs. Bags</v>
      </c>
      <c r="E32" s="39" t="s">
        <v>55</v>
      </c>
    </row>
    <row r="33" spans="1:5" ht="24.95" customHeight="1" x14ac:dyDescent="0.25">
      <c r="A33" s="47" t="str">
        <f>Calculator!$B$28</f>
        <v>Light Blue ColorPlus</v>
      </c>
      <c r="B33" s="47"/>
      <c r="C33" s="61"/>
      <c r="D33" s="61" t="str">
        <f>IF(Calculator!$A$2=1,(D31*2),IF(Calculator!$A$2=2,(D31*2),IF(Calculator!$A$2=3,(D31*4),"")))&amp; IF(OR(Calculator!$A$2=2,Calculator!$A$2=3)," - 1 Gallon Pail(s)",IF(Calculator!$A$2=1," - 24 OZ Jar(s)"))</f>
        <v>4 - 1 Gallon Pail(s)</v>
      </c>
      <c r="E33" s="39" t="str">
        <f>IFERROR(IF(Calculator!$A$2=1,VLOOKUP(HALFBBALLCONC[[#This Row],[Column1]],OZ_JARS[],2,0),IF(OR(Calculator!$A$2=2,Calculator!$A$2=3),VLOOKUP(HALFBBALLCONC[[#This Row],[Column1]],'1 GALLON'!A2:G19,2,0),"")),"")</f>
        <v>C1385G</v>
      </c>
    </row>
    <row r="34" spans="1:5" ht="24.95" customHeight="1" x14ac:dyDescent="0.25">
      <c r="A34" s="78" t="s">
        <v>70</v>
      </c>
      <c r="B34" s="69" t="s">
        <v>27</v>
      </c>
      <c r="C34" s="69" t="s">
        <v>28</v>
      </c>
      <c r="D34" s="67" t="s">
        <v>29</v>
      </c>
      <c r="E34" s="60" t="s">
        <v>30</v>
      </c>
    </row>
    <row r="35" spans="1:5" ht="24.95" customHeight="1" x14ac:dyDescent="0.25">
      <c r="A35" s="47" t="s">
        <v>53</v>
      </c>
      <c r="B35" s="70">
        <v>2</v>
      </c>
      <c r="C35" s="71">
        <f>IFERROR(IF(Calculator!$A$3=1,ROUNDUP(SUM(VLOOKUP(A35,GALLON55CONC[],3,FALSE)*$C$9*HALFBBALLCONC[[#This Row],[Column2]]),0),IF(Calculator!$A$3=2,ROUNDUP(SUM(VLOOKUP(A35,GALLON55CONC[],4,FALSE)*$C$9*HALFBBALLCONC[[#This Row],[Column2]]),0),IF(Calculator!$A$3=3,ROUNDUP(SUM(VLOOKUP(A35,GALLON55CONC[],5,FALSE)*$C$9*HALFBBALLCONC[[#This Row],[Column2]]),0),IF(Calculator!$A$3=4,ROUNDUP(SUM(VLOOKUP(A35,GALLON55CONC[],6,FALSE)*$C$9*HALFBBALLCONC[[#This Row],[Column2]]),0))))),"")</f>
        <v>1</v>
      </c>
      <c r="D35" s="61">
        <f>ROUNDUP(SUM(HALFBBALLCONC[[#This Row],[Column3]]/IF(Calculator!$A$2=1,5,IF(Calculator!$A$2=2,30,IF(Calculator!$A$2=3,55,"")))),0)</f>
        <v>1</v>
      </c>
      <c r="E35" s="39" t="str">
        <f>VLOOKUP(A35,GALLON55CONC[],2,0)&amp;IF(Calculator!$A$2=1,"P",IF(Calculator!$A$2=2,"K",IF(Calculator!$A$2=3,"D","")))</f>
        <v>C1360D</v>
      </c>
    </row>
    <row r="36" spans="1:5" ht="24.95" customHeight="1" x14ac:dyDescent="0.25">
      <c r="A36" s="47" t="s">
        <v>54</v>
      </c>
      <c r="B36" s="47"/>
      <c r="C36" s="71">
        <f>IF(Calculator!$A$2=1,(D35*35),IF(Calculator!$A$2=2,(D35*200),IF(Calculator!$A$2=3,(D35*400),"")))</f>
        <v>400</v>
      </c>
      <c r="D36" s="61" t="str">
        <f>ROUNDUP(SUM(HALFBBALLCONC[[#This Row],[Column3]]/50),0)&amp; " - 50 lbs. Bags"</f>
        <v>8 - 50 lbs. Bags</v>
      </c>
      <c r="E36" s="39" t="s">
        <v>55</v>
      </c>
    </row>
    <row r="37" spans="1:5" ht="24.95" customHeight="1" x14ac:dyDescent="0.25">
      <c r="A37" s="47" t="str">
        <f>Calculator!$B$30</f>
        <v>Blue ColorPlus</v>
      </c>
      <c r="B37" s="47"/>
      <c r="C37" s="61"/>
      <c r="D37" s="61" t="str">
        <f>IF(Calculator!$A$2=1,(D35*2),IF(Calculator!$A$2=2,(D35*2),IF(Calculator!$A$2=3,(D35*4),"")))&amp; IF(OR(Calculator!$A$2=2,Calculator!$A$2=3)," - 1 Gallon Pail(s)",IF(Calculator!$A$2=1," - 24 OZ Jar(s)"))</f>
        <v>4 - 1 Gallon Pail(s)</v>
      </c>
      <c r="E37" s="39" t="str">
        <f>IFERROR(IF(Calculator!$A$2=1,VLOOKUP(HALFBBALLCONC[[#This Row],[Column1]],OZ_JARS[],2,0),IF(OR(Calculator!$A$2=2,Calculator!$A$2=3),VLOOKUP(HALFBBALLCONC[[#This Row],[Column1]],'1 GALLON'!A2:G19,2,0),"")),"")</f>
        <v>C1384G</v>
      </c>
    </row>
    <row r="38" spans="1:5" ht="24.95" customHeight="1" x14ac:dyDescent="0.25">
      <c r="A38" s="78" t="s">
        <v>38</v>
      </c>
      <c r="B38" s="69" t="s">
        <v>27</v>
      </c>
      <c r="C38" s="69" t="s">
        <v>28</v>
      </c>
      <c r="D38" s="67" t="s">
        <v>29</v>
      </c>
      <c r="E38" s="60" t="s">
        <v>30</v>
      </c>
    </row>
    <row r="39" spans="1:5" ht="24.95" customHeight="1" x14ac:dyDescent="0.25">
      <c r="A39" s="72" t="s">
        <v>39</v>
      </c>
      <c r="B39" s="70"/>
      <c r="C39" s="39"/>
      <c r="D39" s="61"/>
      <c r="E39" s="39"/>
    </row>
    <row r="40" spans="1:5" ht="24.95" customHeight="1" x14ac:dyDescent="0.25">
      <c r="A40" s="47" t="s">
        <v>40</v>
      </c>
      <c r="B40" s="70">
        <v>3</v>
      </c>
      <c r="C40" s="71">
        <f>IFERROR(IF(Calculator!$A$3=1,ROUNDUP(SUM(VLOOKUP(A40,GALLON55CONC[],3,FALSE)*$C$3*HALFBBALLCONC[[#This Row],[Column2]]),0),IF(Calculator!$A$3=2,ROUNDUP(SUM(VLOOKUP(A40,GALLON55CONC[],4,FALSE)*$C$3*HALFBBALLCONC[[#This Row],[Column2]]),0),IF(Calculator!$A$3=3,ROUNDUP(SUM(VLOOKUP(A40,GALLON55CONC[],5,FALSE)*$C$3*HALFBBALLCONC[[#This Row],[Column2]]),0),IF(Calculator!$A$3=4,ROUNDUP(SUM(VLOOKUP(A40,GALLON55CONC[],6,FALSE)*$C$3*HALFBBALLCONC[[#This Row],[Column2]]),0))))),"")</f>
        <v>160</v>
      </c>
      <c r="D40" s="61">
        <f>ROUNDUP(SUM(HALFBBALLCONC[[#This Row],[Column3]]/IF(Calculator!$A$2=1,5,IF(Calculator!$A$2=2,30,IF(Calculator!$A$2=3,55,"")))),0)</f>
        <v>3</v>
      </c>
      <c r="E40" s="39" t="str">
        <f>VLOOKUP(A40,GALLON55CONC[],2,0)&amp;IF(Calculator!$A$2=1,"P",IF(Calculator!$A$2=2,"K",IF(Calculator!$A$2=3,"D","")))</f>
        <v>C1460D</v>
      </c>
    </row>
    <row r="41" spans="1:5" ht="24.95" customHeight="1" x14ac:dyDescent="0.25">
      <c r="A41" s="47" t="s">
        <v>41</v>
      </c>
      <c r="B41" s="70">
        <v>2</v>
      </c>
      <c r="C41" s="71">
        <f>IFERROR(IF(Calculator!$A$3=1,ROUNDUP(SUM(VLOOKUP(A41,GALLON55CONC[],3,FALSE)*$C$3*HALFBBALLCONC[[#This Row],[Column2]]),0),IF(Calculator!$A$3=2,ROUNDUP(SUM(VLOOKUP(A41,GALLON55CONC[],4,FALSE)*$C$3*HALFBBALLCONC[[#This Row],[Column2]]),0),IF(Calculator!$A$3=3,ROUNDUP(SUM(VLOOKUP(A41,GALLON55CONC[],5,FALSE)*$C$3*HALFBBALLCONC[[#This Row],[Column2]]),0),IF(Calculator!$A$3=4,ROUNDUP(SUM(VLOOKUP(A41,GALLON55CONC[],6,FALSE)*$C$3*HALFBBALLCONC[[#This Row],[Column2]]),0))))),"")</f>
        <v>72</v>
      </c>
      <c r="D41" s="61">
        <f>ROUNDUP(SUM(HALFBBALLCONC[[#This Row],[Column3]]/IF(Calculator!$A$2=1,5,IF(Calculator!$A$2=2,30,IF(Calculator!$A$2=3,55,"")))),0)</f>
        <v>2</v>
      </c>
      <c r="E41" s="39" t="str">
        <f>VLOOKUP(A41,GALLON55CONC[],2,0)&amp;IF(Calculator!$A$2=1,"P",IF(Calculator!$A$2=2,"K",IF(Calculator!$A$2=3,"D","")))</f>
        <v>C1450D</v>
      </c>
    </row>
    <row r="42" spans="1:5" ht="24.95" customHeight="1" x14ac:dyDescent="0.25">
      <c r="A42" s="72" t="s">
        <v>42</v>
      </c>
      <c r="B42" s="39"/>
      <c r="C42" s="39"/>
      <c r="D42" s="61"/>
      <c r="E42" s="39"/>
    </row>
    <row r="43" spans="1:5" ht="24.95" customHeight="1" x14ac:dyDescent="0.25">
      <c r="A43" s="47" t="s">
        <v>40</v>
      </c>
      <c r="B43" s="70">
        <v>5</v>
      </c>
      <c r="C43" s="71">
        <f>IFERROR(IF(Calculator!$A$3=1,ROUNDUP(SUM(VLOOKUP(A43,GALLON55CONC[],3,FALSE)*$C$3*HALFBBALLCONC[[#This Row],[Column2]]),0),IF(Calculator!$A$3=2,ROUNDUP(SUM(VLOOKUP(A43,GALLON55CONC[],4,FALSE)*$C$3*HALFBBALLCONC[[#This Row],[Column2]]),0),IF(Calculator!$A$3=3,ROUNDUP(SUM(VLOOKUP(A43,GALLON55CONC[],5,FALSE)*$C$3*HALFBBALLCONC[[#This Row],[Column2]]),0),IF(Calculator!$A$3=4,ROUNDUP(SUM(VLOOKUP(A43,GALLON55CONC[],6,FALSE)*$C$3*HALFBBALLCONC[[#This Row],[Column2]]),0))))),"")</f>
        <v>267</v>
      </c>
      <c r="D43" s="61">
        <f>ROUNDUP(SUM(HALFBBALLCONC[[#This Row],[Column3]]/IF(Calculator!$A$2=1,5,IF(Calculator!$A$2=2,30,IF(Calculator!$A$2=3,55,"")))),0)</f>
        <v>5</v>
      </c>
      <c r="E43" s="39" t="str">
        <f>VLOOKUP(A43,GALLON55CONC[],2,0)&amp;IF(Calculator!$A$2=1,"P",IF(Calculator!$A$2=2,"K",IF(Calculator!$A$2=3,"D","")))</f>
        <v>C1460D</v>
      </c>
    </row>
    <row r="44" spans="1:5" ht="24.95" customHeight="1" x14ac:dyDescent="0.25">
      <c r="A44" s="47" t="s">
        <v>41</v>
      </c>
      <c r="B44" s="70">
        <v>2</v>
      </c>
      <c r="C44" s="71">
        <f>IFERROR(IF(Calculator!$A$3=1,ROUNDUP(SUM(VLOOKUP(A44,GALLON55CONC[],3,FALSE)*$C$3*HALFBBALLCONC[[#This Row],[Column2]]),0),IF(Calculator!$A$3=2,ROUNDUP(SUM(VLOOKUP(A44,GALLON55CONC[],4,FALSE)*$C$3*HALFBBALLCONC[[#This Row],[Column2]]),0),IF(Calculator!$A$3=3,ROUNDUP(SUM(VLOOKUP(A44,GALLON55CONC[],5,FALSE)*$C$3*HALFBBALLCONC[[#This Row],[Column2]]),0),IF(Calculator!$A$3=4,ROUNDUP(SUM(VLOOKUP(A44,GALLON55CONC[],6,FALSE)*$C$3*HALFBBALLCONC[[#This Row],[Column2]]),0))))),"")</f>
        <v>72</v>
      </c>
      <c r="D44" s="61">
        <f>ROUNDUP(SUM(HALFBBALLCONC[[#This Row],[Column3]]/IF(Calculator!$A$2=1,5,IF(Calculator!$A$2=2,30,IF(Calculator!$A$2=3,55,"")))),0)</f>
        <v>2</v>
      </c>
      <c r="E44" s="39" t="str">
        <f>VLOOKUP(A44,GALLON55CONC[],2,0)&amp;IF(Calculator!$A$2=1,"P",IF(Calculator!$A$2=2,"K",IF(Calculator!$A$2=3,"D","")))</f>
        <v>C1450D</v>
      </c>
    </row>
    <row r="45" spans="1:5" ht="24.95" customHeight="1" x14ac:dyDescent="0.25">
      <c r="A45" s="78" t="s">
        <v>43</v>
      </c>
      <c r="B45" s="69" t="s">
        <v>27</v>
      </c>
      <c r="C45" s="69" t="s">
        <v>28</v>
      </c>
      <c r="D45" s="39"/>
      <c r="E45" s="60" t="s">
        <v>30</v>
      </c>
    </row>
    <row r="46" spans="1:5" ht="24.95" customHeight="1" x14ac:dyDescent="0.25">
      <c r="A46" s="47" t="s">
        <v>44</v>
      </c>
      <c r="B46" s="70">
        <v>1</v>
      </c>
      <c r="C46" s="70">
        <f>ROUNDUP(CEILING(B4/2, 1),0)</f>
        <v>1</v>
      </c>
      <c r="D46" s="39">
        <f>HALFBBALLCONC[[#This Row],[Column3]]</f>
        <v>1</v>
      </c>
      <c r="E46" s="39" t="str">
        <f>VLOOKUP(A46,GALLON55CONC[],2,0)</f>
        <v>C1610G</v>
      </c>
    </row>
    <row r="47" spans="1:5" ht="24.95" customHeight="1" x14ac:dyDescent="0.25">
      <c r="A47" s="47" t="s">
        <v>45</v>
      </c>
      <c r="B47" s="70">
        <v>1</v>
      </c>
      <c r="C47" s="70">
        <f>ROUNDUP(CEILING(B4/2, 1),0)</f>
        <v>1</v>
      </c>
      <c r="D47" s="39">
        <f>HALFBBALLCONC[[#This Row],[Column3]]</f>
        <v>1</v>
      </c>
      <c r="E47" s="39" t="str">
        <f>VLOOKUP(A47,GALLON55CONC[],2,0)</f>
        <v>C1620G</v>
      </c>
    </row>
    <row r="48" spans="1:5" ht="24.95" customHeight="1" x14ac:dyDescent="0.25">
      <c r="A48" s="78" t="s">
        <v>46</v>
      </c>
      <c r="B48" s="69" t="s">
        <v>47</v>
      </c>
      <c r="C48" s="39"/>
      <c r="D48" s="39"/>
      <c r="E48" s="39"/>
    </row>
    <row r="49" spans="1:5" ht="24.95" customHeight="1" x14ac:dyDescent="0.25">
      <c r="A49" s="47" t="s">
        <v>48</v>
      </c>
      <c r="B49" s="73">
        <f>ROUNDUP(SUM(4*B4),0)</f>
        <v>4</v>
      </c>
      <c r="C49" s="39"/>
      <c r="D49" s="39"/>
      <c r="E49" s="39"/>
    </row>
  </sheetData>
  <sheetProtection algorithmName="SHA-512" hashValue="9QgWl22kMWzxBKFXDI8OdWPSjpY7XBWsQltmXf08z1yaYR98NMaQ3j5Oo9GlmhVhqOsVpZ+QXZf4foE38Soklg==" saltValue="3vJ8l0mS8RK08aEFvp2ccw==" spinCount="100000" sheet="1" formatCells="0" formatColumns="0" formatRows="0" insertColumns="0" insertRows="0" insertHyperlinks="0" deleteColumns="0" deleteRows="0" sort="0" autoFilter="0" pivotTables="0"/>
  <phoneticPr fontId="9" type="noConversion"/>
  <conditionalFormatting sqref="B3">
    <cfRule type="cellIs" dxfId="61" priority="1" operator="equal">
      <formula>0</formula>
    </cfRule>
  </conditionalFormatting>
  <dataValidations count="1">
    <dataValidation type="list" allowBlank="1" showInputMessage="1" showErrorMessage="1" sqref="A1:C1 C3:C9" xr:uid="{866C035B-F848-4F96-8973-203FCEFA0501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B0B66-BDB0-4549-8E59-563A687FB77C}">
  <sheetPr codeName="Sheet8"/>
  <dimension ref="A1:F27"/>
  <sheetViews>
    <sheetView topLeftCell="A7" zoomScale="70" zoomScaleNormal="70" workbookViewId="0">
      <selection activeCell="D25" sqref="D25"/>
    </sheetView>
  </sheetViews>
  <sheetFormatPr defaultRowHeight="15" x14ac:dyDescent="0.25"/>
  <cols>
    <col min="1" max="1" width="44.85546875" customWidth="1"/>
    <col min="2" max="3" width="35.7109375" customWidth="1"/>
    <col min="4" max="4" width="30.140625" bestFit="1" customWidth="1"/>
    <col min="5" max="5" width="15.7109375" bestFit="1" customWidth="1"/>
  </cols>
  <sheetData>
    <row r="1" spans="1:6" ht="30" customHeight="1" thickBot="1" x14ac:dyDescent="0.3">
      <c r="A1" s="146"/>
      <c r="B1" s="147"/>
      <c r="C1" s="148"/>
    </row>
    <row r="2" spans="1:6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6" ht="30" customHeight="1" thickBot="1" x14ac:dyDescent="0.3">
      <c r="A3" s="46" t="s">
        <v>8</v>
      </c>
      <c r="B3" s="57">
        <f>IF(Calculator!$A$5=1,SUM(Calculator!C5*Calculator!C6),IF(Calculator!$A$5=2,Calculator!C5,IF(Calculator!$A$5=3,SUM(Calculator!C5*9),IF(Calculator!$A$5=4,SUM(Calculator!C5*10.7639),""))))</f>
        <v>3200</v>
      </c>
      <c r="C3" s="56">
        <f>SUM(TotalAreaReady[[#This Row],[Column2]]/9)</f>
        <v>355.55555555555554</v>
      </c>
    </row>
    <row r="4" spans="1:6" ht="30" customHeight="1" thickBot="1" x14ac:dyDescent="0.3">
      <c r="A4" s="68" t="s">
        <v>12</v>
      </c>
      <c r="B4" s="69" t="s">
        <v>13</v>
      </c>
      <c r="C4" s="80" t="s">
        <v>14</v>
      </c>
      <c r="D4" s="60" t="s">
        <v>15</v>
      </c>
    </row>
    <row r="5" spans="1:6" ht="30" customHeight="1" thickBot="1" x14ac:dyDescent="0.3">
      <c r="A5" s="46" t="s">
        <v>16</v>
      </c>
      <c r="B5" s="79" t="s">
        <v>17</v>
      </c>
      <c r="C5" s="54" t="s">
        <v>18</v>
      </c>
      <c r="D5" s="39" t="s">
        <v>19</v>
      </c>
    </row>
    <row r="6" spans="1:6" ht="30" customHeight="1" thickBot="1" x14ac:dyDescent="0.3">
      <c r="A6" s="46" t="s">
        <v>20</v>
      </c>
      <c r="B6" s="79" t="s">
        <v>17</v>
      </c>
      <c r="C6" s="54" t="s">
        <v>21</v>
      </c>
      <c r="D6" s="39" t="s">
        <v>22</v>
      </c>
    </row>
    <row r="7" spans="1:6" ht="30" customHeight="1" thickBot="1" x14ac:dyDescent="0.3">
      <c r="A7" s="46" t="s">
        <v>23</v>
      </c>
      <c r="B7" s="79" t="s">
        <v>24</v>
      </c>
      <c r="C7" s="54" t="s">
        <v>21</v>
      </c>
      <c r="D7" s="39" t="s">
        <v>25</v>
      </c>
    </row>
    <row r="8" spans="1:6" ht="30" customHeight="1" thickBot="1" x14ac:dyDescent="0.3">
      <c r="A8" s="68" t="s">
        <v>26</v>
      </c>
      <c r="B8" s="69" t="s">
        <v>27</v>
      </c>
      <c r="C8" s="69" t="s">
        <v>28</v>
      </c>
      <c r="D8" s="67" t="s">
        <v>29</v>
      </c>
      <c r="E8" s="60" t="s">
        <v>30</v>
      </c>
    </row>
    <row r="9" spans="1:6" ht="30" customHeight="1" thickBot="1" x14ac:dyDescent="0.3">
      <c r="A9" s="46" t="s">
        <v>31</v>
      </c>
      <c r="B9" s="70" t="str">
        <f>IF(OR(Calculator!$A$3=1,Calculator!$A$3=3),1,IF(OR(Calculator!$A$3=2,Calculator!$A$3=4),""))</f>
        <v/>
      </c>
      <c r="C9" s="71" t="str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/>
      </c>
      <c r="D9" s="82" t="str">
        <f>IFERROR(ROUNDUP(SUM(TotalAreaReady[[#This Row],[Column3]]/IF(Calculator!$A$2=1,5,IF(Calculator!$A$2=2,30,IF(Calculator!$A$2=3,55,"")))),0),"")</f>
        <v/>
      </c>
      <c r="E9" s="61" t="str">
        <f>VLOOKUP(A9,GALLON55READY[],2,0)&amp;IF(Calculator!$A$2=1,"P",IF(Calculator!$A$2=2,"K",IF(Calculator!$A$2=3,"D","")))</f>
        <v>C1650D</v>
      </c>
    </row>
    <row r="10" spans="1:6" ht="30" customHeight="1" x14ac:dyDescent="0.25">
      <c r="A10" s="47" t="s">
        <v>32</v>
      </c>
      <c r="B10" s="70">
        <f>IF(OR(Calculator!$A$3=3,Calculator!$A$3=4,Calculator!$A$3=1),1,IF(Calculator!$A$3=2,2,""))</f>
        <v>2</v>
      </c>
      <c r="C10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93</v>
      </c>
      <c r="D10" s="61">
        <f>ROUNDUP(SUM(TotalAreaReady[[#This Row],[Column3]]/IF(Calculator!$A$2=1,5,IF(Calculator!$A$2=2,30,IF(Calculator!$A$2=3,55,"")))),0)</f>
        <v>2</v>
      </c>
      <c r="E10" s="39" t="str">
        <f>VLOOKUP(A10,GALLON55READY[],2,0)&amp;IF(Calculator!$A$2=1,"P",IF(Calculator!$A$2=2,"K",IF(Calculator!$A$2=3,"D","")))</f>
        <v>C1330D</v>
      </c>
    </row>
    <row r="11" spans="1:6" ht="30" customHeight="1" x14ac:dyDescent="0.25">
      <c r="A11" s="68" t="s">
        <v>59</v>
      </c>
      <c r="B11" s="69" t="s">
        <v>27</v>
      </c>
      <c r="C11" s="69" t="s">
        <v>28</v>
      </c>
      <c r="D11" s="67" t="s">
        <v>29</v>
      </c>
      <c r="E11" s="60" t="s">
        <v>30</v>
      </c>
    </row>
    <row r="12" spans="1:6" ht="30" customHeight="1" x14ac:dyDescent="0.25">
      <c r="A12" s="47" t="s">
        <v>34</v>
      </c>
      <c r="B12" s="70">
        <v>2</v>
      </c>
      <c r="C12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64</v>
      </c>
      <c r="D12" s="61">
        <f>ROUNDUP(SUM(TotalAreaReady[[#This Row],[Column3]]/IF(Calculator!$A$2=1,5,IF(Calculator!$A$2=2,30,IF(Calculator!$A$2=3,55,"")))),0)</f>
        <v>2</v>
      </c>
      <c r="E12" s="39" t="str">
        <f>VLOOKUP(A12,GALLON55READY[],2,0)&amp;IF(Calculator!$A$2=1,"P",IF(Calculator!$A$2=2,"K",IF(Calculator!$A$2=3,"D","")))</f>
        <v>C1365D</v>
      </c>
    </row>
    <row r="13" spans="1:6" ht="30" customHeight="1" x14ac:dyDescent="0.25">
      <c r="A13" s="47" t="str">
        <f>Calculator!B22</f>
        <v>Light Blue ColorPlus</v>
      </c>
      <c r="B13" s="70"/>
      <c r="C13" s="71"/>
      <c r="D13" s="61" t="str">
        <f>IF(Calculator!$A$2=1,(D12*2),IF(Calculator!$A$2=2,(D12*2),IF(Calculator!$A$2=3,(D12*4),"")))&amp; IF(OR(Calculator!$A$2=2,Calculator!$A$2=3)," - 1 Gallon Pail(s)",IF(Calculator!$A$2=1," - 24 OZ Jar(s)"))</f>
        <v>8 - 1 Gallon Pail(s)</v>
      </c>
      <c r="E13" s="39" t="str">
        <f>IFERROR(IF(Calculator!$A$2=1,VLOOKUP(TotalAreaReady[[#This Row],[Column1]],OZ_JARS[],2,0),IF(OR(Calculator!$A$2=2,Calculator!$A$2=3),VLOOKUP(TotalAreaReady[[#This Row],[Column1]],'1 GALLON'!A2:G19,2,0),"")),"")</f>
        <v>C1385G</v>
      </c>
      <c r="F13" t="s">
        <v>35</v>
      </c>
    </row>
    <row r="14" spans="1:6" ht="30" customHeight="1" x14ac:dyDescent="0.25">
      <c r="A14" s="47" t="s">
        <v>36</v>
      </c>
      <c r="B14" s="70">
        <v>2</v>
      </c>
      <c r="C14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79</v>
      </c>
      <c r="D14" s="61">
        <f>ROUNDUP(SUM(TotalAreaReady[[#This Row],[Column3]]/5),0)</f>
        <v>16</v>
      </c>
      <c r="E14" s="39" t="str">
        <f>VLOOKUP(A14,GALLON55READY[],2,0)</f>
        <v>C1285P</v>
      </c>
    </row>
    <row r="15" spans="1:6" ht="30" customHeight="1" x14ac:dyDescent="0.25">
      <c r="A15" s="47" t="str">
        <f>Calculator!$B$22</f>
        <v>Light Blue ColorPlus</v>
      </c>
      <c r="B15" s="70"/>
      <c r="C15" s="71"/>
      <c r="D15" s="61" t="str">
        <f>SUM(D14*1)&amp; IF(OR(A14="Ready-Mix Color",A14="PickleMaster RTU")," - 24 OZ Jar(s)","")</f>
        <v>16 - 24 OZ Jar(s)</v>
      </c>
      <c r="E15" s="39" t="str">
        <f>(IFERROR(IF(OR(A14="Ready-Mix Color",A14="PickleMaster RTU"),VLOOKUP(TotalAreaReady[[#This Row],[Column1]],OZ_JARS[],2,0)),""))</f>
        <v>C1385J</v>
      </c>
    </row>
    <row r="16" spans="1:6" ht="30" customHeight="1" x14ac:dyDescent="0.25">
      <c r="A16" s="68" t="s">
        <v>38</v>
      </c>
      <c r="B16" s="69" t="s">
        <v>27</v>
      </c>
      <c r="C16" s="69" t="s">
        <v>28</v>
      </c>
      <c r="D16" s="67" t="s">
        <v>29</v>
      </c>
      <c r="E16" s="60" t="s">
        <v>30</v>
      </c>
    </row>
    <row r="17" spans="1:5" ht="30" customHeight="1" x14ac:dyDescent="0.25">
      <c r="A17" s="72" t="s">
        <v>39</v>
      </c>
      <c r="B17" s="70"/>
      <c r="C17" s="39"/>
      <c r="D17" s="61"/>
      <c r="E17" s="39"/>
    </row>
    <row r="18" spans="1:5" ht="30" customHeight="1" x14ac:dyDescent="0.25">
      <c r="A18" s="47" t="s">
        <v>40</v>
      </c>
      <c r="B18" s="70">
        <v>3</v>
      </c>
      <c r="C18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160</v>
      </c>
      <c r="D18" s="61">
        <f>ROUNDUP(SUM(TotalAreaReady[[#This Row],[Column3]]/IF(Calculator!$A$2=1,5,IF(Calculator!$A$2=2,30,IF(Calculator!$A$2=3,55,"")))),0)</f>
        <v>3</v>
      </c>
      <c r="E18" s="39" t="str">
        <f>VLOOKUP(A18,GALLON55READY[],2,0)&amp;IF(Calculator!$A$2=1,"P",IF(Calculator!$A$2=2,"K",IF(Calculator!$A$2=3,"D","")))</f>
        <v>C1460D</v>
      </c>
    </row>
    <row r="19" spans="1:5" ht="30" customHeight="1" x14ac:dyDescent="0.25">
      <c r="A19" s="47" t="s">
        <v>41</v>
      </c>
      <c r="B19" s="70">
        <v>2</v>
      </c>
      <c r="C19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72</v>
      </c>
      <c r="D19" s="61">
        <f>ROUNDUP(SUM(TotalAreaReady[[#This Row],[Column3]]/IF(Calculator!$A$2=1,5,IF(Calculator!$A$2=2,30,IF(Calculator!$A$2=3,55,"")))),0)</f>
        <v>2</v>
      </c>
      <c r="E19" s="39" t="str">
        <f>VLOOKUP(A19,GALLON55READY[],2,0)&amp;IF(Calculator!$A$2=1,"P",IF(Calculator!$A$2=2,"K",IF(Calculator!$A$2=3,"D","")))</f>
        <v>C1450D</v>
      </c>
    </row>
    <row r="20" spans="1:5" ht="30" customHeight="1" x14ac:dyDescent="0.25">
      <c r="A20" s="72" t="s">
        <v>42</v>
      </c>
      <c r="B20" s="39"/>
      <c r="C20" s="39"/>
      <c r="D20" s="61"/>
      <c r="E20" s="60"/>
    </row>
    <row r="21" spans="1:5" ht="30" customHeight="1" x14ac:dyDescent="0.25">
      <c r="A21" s="47" t="s">
        <v>40</v>
      </c>
      <c r="B21" s="70">
        <v>5</v>
      </c>
      <c r="C21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267</v>
      </c>
      <c r="D21" s="61">
        <f>ROUNDUP(SUM(TotalAreaReady[[#This Row],[Column3]]/IF(Calculator!$A$2=1,5,IF(Calculator!$A$2=2,30,IF(Calculator!$A$2=3,55,"")))),0)</f>
        <v>5</v>
      </c>
      <c r="E21" s="39" t="str">
        <f>VLOOKUP(A21,GALLON55READY[],2,0)&amp;IF(Calculator!$A$2=1,"P",IF(Calculator!$A$2=2,"K",IF(Calculator!$A$2=3,"D","")))</f>
        <v>C1460D</v>
      </c>
    </row>
    <row r="22" spans="1:5" ht="30" customHeight="1" x14ac:dyDescent="0.25">
      <c r="A22" s="47" t="s">
        <v>41</v>
      </c>
      <c r="B22" s="70">
        <v>2</v>
      </c>
      <c r="C22" s="71">
        <f>IFERROR(IF(Calculator!$A$3=1,ROUNDUP(SUM(VLOOKUP(TotalAreaReady[[#This Row],[Column1]],GALLON55READY[#All],3,FALSE)*$C$3*TotalAreaReady[[#This Row],[Column2]]),0),IF(Calculator!$A$3=2,ROUNDUP(SUM(VLOOKUP(TotalAreaReady[[#This Row],[Column1]],GALLON55READY[#All],4,FALSE)*$C$3*TotalAreaReady[[#This Row],[Column2]]),0),IF(Calculator!$A$3=3,ROUNDUP(SUM(VLOOKUP(TotalAreaReady[[#This Row],[Column1]],GALLON55READY[#All],5,FALSE)*$C$3*TotalAreaReady[[#This Row],[Column2]]),0),IF(Calculator!$A$3=4,ROUNDUP(SUM(VLOOKUP(TotalAreaReady[[#This Row],[Column1]],GALLON55READY[#All],6,FALSE)*$C$3*TotalAreaReady[[#This Row],[Column2]]),0))))),"")</f>
        <v>72</v>
      </c>
      <c r="D22" s="61">
        <f>ROUNDUP(SUM(TotalAreaReady[[#This Row],[Column3]]/IF(Calculator!$A$2=1,5,IF(Calculator!$A$2=2,30,IF(Calculator!$A$2=3,55,"")))),0)</f>
        <v>2</v>
      </c>
      <c r="E22" s="39" t="str">
        <f>VLOOKUP(A22,GALLON55READY[],2,0)&amp;IF(Calculator!$A$2=1,"P",IF(Calculator!$A$2=2,"K",IF(Calculator!$A$2=3,"D","")))</f>
        <v>C1450D</v>
      </c>
    </row>
    <row r="23" spans="1:5" ht="30" customHeight="1" x14ac:dyDescent="0.25">
      <c r="A23" s="68" t="s">
        <v>43</v>
      </c>
      <c r="B23" s="69" t="s">
        <v>27</v>
      </c>
      <c r="C23" s="69" t="s">
        <v>28</v>
      </c>
      <c r="D23" s="39"/>
      <c r="E23" s="60" t="s">
        <v>30</v>
      </c>
    </row>
    <row r="24" spans="1:5" ht="30" customHeight="1" x14ac:dyDescent="0.25">
      <c r="A24" s="47" t="s">
        <v>44</v>
      </c>
      <c r="B24" s="70">
        <v>1</v>
      </c>
      <c r="C24" s="70"/>
      <c r="D24" s="39">
        <f>TotalAreaReady[[#This Row],[Column3]]</f>
        <v>0</v>
      </c>
      <c r="E24" s="39" t="str">
        <f>VLOOKUP(TotalAreaReady[[#This Row],[Column1]],GALLON55READY[],2,0)</f>
        <v>C1610G</v>
      </c>
    </row>
    <row r="25" spans="1:5" ht="30" customHeight="1" x14ac:dyDescent="0.25">
      <c r="A25" s="47" t="s">
        <v>45</v>
      </c>
      <c r="B25" s="70">
        <v>1</v>
      </c>
      <c r="C25" s="70"/>
      <c r="D25" s="39">
        <f>TotalAreaReady[[#This Row],[Column3]]</f>
        <v>0</v>
      </c>
      <c r="E25" s="39" t="str">
        <f>VLOOKUP(TotalAreaReady[[#This Row],[Column1]],GALLON55READY[],2,0)</f>
        <v>C1620G</v>
      </c>
    </row>
    <row r="26" spans="1:5" ht="30" customHeight="1" x14ac:dyDescent="0.25">
      <c r="A26" s="68" t="s">
        <v>46</v>
      </c>
      <c r="B26" s="69" t="s">
        <v>47</v>
      </c>
      <c r="C26" s="39"/>
      <c r="D26" s="39"/>
      <c r="E26" s="39"/>
    </row>
    <row r="27" spans="1:5" ht="15.75" thickBot="1" x14ac:dyDescent="0.3">
      <c r="A27" s="48" t="s">
        <v>48</v>
      </c>
      <c r="B27" s="58"/>
      <c r="C27" s="39"/>
      <c r="D27" s="39"/>
      <c r="E27" s="39"/>
    </row>
  </sheetData>
  <sheetProtection algorithmName="SHA-512" hashValue="TxqG4JZHuT8Bz1N0K2zQ8QlpxobRM7N0Ns4pchJzMgRe6DxZnSnCRInFMYRDXPUk2afouW1qtisi9QraJzFgVA==" saltValue="x3v5bqNRxa8Cch0JPsq1Bw==" spinCount="100000" sheet="1" formatCells="0" formatColumns="0" formatRows="0" insertColumns="0" insertRows="0" insertHyperlinks="0" deleteColumns="0" deleteRows="0" sort="0" autoFilter="0" pivotTables="0"/>
  <mergeCells count="1">
    <mergeCell ref="A1:C1"/>
  </mergeCells>
  <conditionalFormatting sqref="B3">
    <cfRule type="cellIs" dxfId="57" priority="1" operator="equal">
      <formula>0</formula>
    </cfRule>
  </conditionalFormatting>
  <dataValidations count="1">
    <dataValidation type="list" allowBlank="1" showInputMessage="1" showErrorMessage="1" sqref="A1:C1 C3" xr:uid="{37B0AB15-02AE-4397-B6BD-AF048B3AE119}">
      <formula1>Court_DropDowns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355CB3-2341-4492-A3CA-6C29B9FCF223}">
          <x14:formula1>
            <xm:f>'1 GALLON'!$A$1:$A$18</xm:f>
          </x14:formula1>
          <xm:sqref>A13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002A-FE36-4C8E-A77D-F326C6862370}">
  <sheetPr codeName="Sheet9"/>
  <dimension ref="A1:E27"/>
  <sheetViews>
    <sheetView topLeftCell="A4" zoomScale="70" zoomScaleNormal="70" workbookViewId="0">
      <selection activeCell="D25" sqref="D25"/>
    </sheetView>
  </sheetViews>
  <sheetFormatPr defaultRowHeight="15" x14ac:dyDescent="0.25"/>
  <cols>
    <col min="1" max="1" width="40.7109375" customWidth="1"/>
    <col min="2" max="3" width="35.7109375" customWidth="1"/>
    <col min="4" max="4" width="30.140625" bestFit="1" customWidth="1"/>
    <col min="5" max="5" width="15.7109375" bestFit="1" customWidth="1"/>
  </cols>
  <sheetData>
    <row r="1" spans="1:5" ht="30" customHeight="1" thickBot="1" x14ac:dyDescent="0.3">
      <c r="A1" s="146"/>
      <c r="B1" s="147"/>
      <c r="C1" s="148"/>
    </row>
    <row r="2" spans="1:5" ht="30" customHeight="1" thickTop="1" thickBot="1" x14ac:dyDescent="0.3">
      <c r="A2" s="48" t="s">
        <v>3</v>
      </c>
      <c r="B2" s="49" t="s">
        <v>4</v>
      </c>
      <c r="C2" s="50" t="s">
        <v>5</v>
      </c>
      <c r="D2" t="s">
        <v>6</v>
      </c>
      <c r="E2" t="s">
        <v>7</v>
      </c>
    </row>
    <row r="3" spans="1:5" ht="30" customHeight="1" thickBot="1" x14ac:dyDescent="0.3">
      <c r="A3" s="46" t="s">
        <v>8</v>
      </c>
      <c r="B3" s="57">
        <f>IF(Calculator!$A$5=1,SUM(Calculator!C5*Calculator!C6),IF(Calculator!$A$5=2,Calculator!C5,IF(Calculator!$A$5=3,SUM(Calculator!C5*9),IF(Calculator!$A$5=4,SUM(Calculator!C5*10.7639),""))))</f>
        <v>3200</v>
      </c>
      <c r="C3" s="56">
        <f>SUM(TotalAreaConc[[#This Row],[Column2]]/9)</f>
        <v>355.55555555555554</v>
      </c>
    </row>
    <row r="4" spans="1:5" ht="30" customHeight="1" thickBot="1" x14ac:dyDescent="0.3">
      <c r="A4" s="68" t="s">
        <v>12</v>
      </c>
      <c r="B4" s="69" t="s">
        <v>13</v>
      </c>
      <c r="C4" s="80" t="s">
        <v>14</v>
      </c>
      <c r="D4" s="60" t="s">
        <v>15</v>
      </c>
    </row>
    <row r="5" spans="1:5" ht="30" customHeight="1" thickBot="1" x14ac:dyDescent="0.3">
      <c r="A5" s="46" t="s">
        <v>16</v>
      </c>
      <c r="B5" s="79" t="s">
        <v>17</v>
      </c>
      <c r="C5" s="54" t="s">
        <v>18</v>
      </c>
      <c r="D5" s="39" t="s">
        <v>19</v>
      </c>
    </row>
    <row r="6" spans="1:5" ht="30" customHeight="1" thickBot="1" x14ac:dyDescent="0.3">
      <c r="A6" s="46" t="s">
        <v>20</v>
      </c>
      <c r="B6" s="79" t="s">
        <v>17</v>
      </c>
      <c r="C6" s="54" t="s">
        <v>21</v>
      </c>
      <c r="D6" s="39" t="s">
        <v>22</v>
      </c>
    </row>
    <row r="7" spans="1:5" ht="30" customHeight="1" thickBot="1" x14ac:dyDescent="0.3">
      <c r="A7" s="46" t="s">
        <v>23</v>
      </c>
      <c r="B7" s="79" t="s">
        <v>24</v>
      </c>
      <c r="C7" s="54" t="s">
        <v>21</v>
      </c>
      <c r="D7" s="39" t="s">
        <v>25</v>
      </c>
    </row>
    <row r="8" spans="1:5" ht="30" customHeight="1" thickBot="1" x14ac:dyDescent="0.3">
      <c r="A8" s="68" t="s">
        <v>26</v>
      </c>
      <c r="B8" s="69" t="s">
        <v>27</v>
      </c>
      <c r="C8" s="69" t="s">
        <v>49</v>
      </c>
      <c r="D8" s="67" t="s">
        <v>29</v>
      </c>
      <c r="E8" s="60" t="s">
        <v>30</v>
      </c>
    </row>
    <row r="9" spans="1:5" ht="30" customHeight="1" thickBot="1" x14ac:dyDescent="0.3">
      <c r="A9" s="46" t="s">
        <v>31</v>
      </c>
      <c r="B9" s="70" t="str">
        <f>IF(OR(Calculator!$A$3=1,Calculator!$A$3=3),1,IF(OR(Calculator!$A$3=2,Calculator!$A$3=4),""))</f>
        <v/>
      </c>
      <c r="C9" s="71" t="str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/>
      </c>
      <c r="D9" s="82" t="str">
        <f>IFERROR(ROUNDUP(SUM(TotalAreaConc[[#This Row],[Column3]]/IF(Calculator!$A$2=1,5,IF(Calculator!$A$2=2,30,IF(Calculator!$A$2=3,55,"")))),0),"")</f>
        <v/>
      </c>
      <c r="E9" s="61" t="str">
        <f>VLOOKUP(A9,GALLON55READY[],2,0)&amp;IF(Calculator!$A$2=1,"P",IF(Calculator!$A$2=2,"K",IF(Calculator!$A$2=3,"D","")))</f>
        <v>C1650D</v>
      </c>
    </row>
    <row r="10" spans="1:5" ht="30" customHeight="1" x14ac:dyDescent="0.25">
      <c r="A10" s="47" t="s">
        <v>50</v>
      </c>
      <c r="B10" s="70">
        <f>IF(OR(Calculator!$A$3=3,Calculator!$A$3=4,Calculator!$A$3=1),1,IF(Calculator!$A$3=2,2,""))</f>
        <v>2</v>
      </c>
      <c r="C10" s="71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>64</v>
      </c>
      <c r="D10" s="61">
        <f>ROUNDUP(SUM(TotalAreaConc[[#This Row],[Column3]]/IF(Calculator!$A$2=1,5,IF(Calculator!$A$2=2,30,IF(Calculator!$A$2=3,55,"")))),0)</f>
        <v>2</v>
      </c>
      <c r="E10" s="39" t="str">
        <f>VLOOKUP(A10,GALLON55CONC[],2,0)&amp;IF(Calculator!$A$2=1,"P",IF(Calculator!$A$2=2,"K",IF(Calculator!$A$2=3,"D","")))</f>
        <v>C1300D</v>
      </c>
    </row>
    <row r="11" spans="1:5" ht="30" customHeight="1" x14ac:dyDescent="0.25">
      <c r="A11" s="47" t="s">
        <v>51</v>
      </c>
      <c r="B11" s="70"/>
      <c r="C11" s="61">
        <f>IF(Calculator!$A$2=1,(D10*70),IF(Calculator!$A$2=2,(D10*400),IF(Calculator!$A$2=3,(D10*750),"")))</f>
        <v>1500</v>
      </c>
      <c r="D11" s="61" t="str">
        <f>ROUNDUP(SUM(TotalAreaConc[[#This Row],[Column3]]/50),0)&amp; " - 50 lbs. Bags"</f>
        <v>30 - 50 lbs. Bags</v>
      </c>
      <c r="E11" s="39" t="s">
        <v>52</v>
      </c>
    </row>
    <row r="12" spans="1:5" ht="30" customHeight="1" x14ac:dyDescent="0.25">
      <c r="A12" s="68" t="s">
        <v>26</v>
      </c>
      <c r="B12" s="69" t="s">
        <v>27</v>
      </c>
      <c r="C12" s="69" t="s">
        <v>49</v>
      </c>
      <c r="D12" s="67" t="s">
        <v>29</v>
      </c>
      <c r="E12" s="60" t="s">
        <v>30</v>
      </c>
    </row>
    <row r="13" spans="1:5" ht="30" customHeight="1" x14ac:dyDescent="0.25">
      <c r="A13" s="47" t="s">
        <v>53</v>
      </c>
      <c r="B13" s="70">
        <v>2</v>
      </c>
      <c r="C13" s="71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>50</v>
      </c>
      <c r="D13" s="61">
        <f>ROUNDUP(SUM(TotalAreaConc[[#This Row],[Column3]]/IF(Calculator!$A$2=1,5,IF(Calculator!$A$2=2,30,IF(Calculator!$A$2=3,55,"")))),0)</f>
        <v>1</v>
      </c>
      <c r="E13" s="39" t="str">
        <f>VLOOKUP(A13,GALLON55CONC[],2,0)&amp;IF(Calculator!$A$2=1,"P",IF(Calculator!$A$2=2,"K",IF(Calculator!$A$2=3,"D","")))</f>
        <v>C1360D</v>
      </c>
    </row>
    <row r="14" spans="1:5" ht="30" customHeight="1" x14ac:dyDescent="0.25">
      <c r="A14" s="47" t="s">
        <v>54</v>
      </c>
      <c r="B14" s="70"/>
      <c r="C14" s="61">
        <f>IF(Calculator!$A$2=1,(D13*35),IF(Calculator!$A$2=2,(D13*200),IF(Calculator!$A$2=3,(D13*400),"")))</f>
        <v>400</v>
      </c>
      <c r="D14" s="61" t="str">
        <f>ROUNDUP(SUM(TotalAreaConc[[#This Row],[Column3]]/50),0)&amp; " - 50 lbs. Bags"</f>
        <v>8 - 50 lbs. Bags</v>
      </c>
      <c r="E14" s="39" t="s">
        <v>55</v>
      </c>
    </row>
    <row r="15" spans="1:5" ht="30" customHeight="1" x14ac:dyDescent="0.25">
      <c r="A15" s="47" t="str">
        <f>Calculator!B22</f>
        <v>Light Blue ColorPlus</v>
      </c>
      <c r="B15" s="70"/>
      <c r="C15" s="71"/>
      <c r="D15" s="61" t="str">
        <f>IF(Calculator!$A$2=1,(D13*2),IF(Calculator!$A$2=2,(D13*2),IF(Calculator!$A$2=3,(D13*4),"")))&amp; IF(OR(Calculator!$A$2=2,Calculator!$A$2=3)," - 1 Gallon Pail(s)",IF(Calculator!$A$2=1," - 24 OZ Jar(s)"))</f>
        <v>4 - 1 Gallon Pail(s)</v>
      </c>
      <c r="E15" s="39" t="str">
        <f>IFERROR(IF(Calculator!$A$2=1,VLOOKUP(TotalAreaConc[[#This Row],[Column1]],OZ_JARS[],2,0),IF(OR(Calculator!$A$2=2,Calculator!$A$2=3),VLOOKUP(TotalAreaConc[[#This Row],[Column1]],'1 GALLON'!$A$4:$G$20,2,0),"")),"")</f>
        <v>C1385G</v>
      </c>
    </row>
    <row r="16" spans="1:5" ht="30" customHeight="1" x14ac:dyDescent="0.25">
      <c r="A16" s="68" t="s">
        <v>38</v>
      </c>
      <c r="B16" s="69" t="s">
        <v>27</v>
      </c>
      <c r="C16" s="69" t="s">
        <v>49</v>
      </c>
      <c r="D16" s="67" t="s">
        <v>29</v>
      </c>
      <c r="E16" s="60" t="s">
        <v>30</v>
      </c>
    </row>
    <row r="17" spans="1:5" ht="30" customHeight="1" x14ac:dyDescent="0.25">
      <c r="A17" s="72" t="s">
        <v>39</v>
      </c>
      <c r="B17" s="70"/>
      <c r="C17" s="71"/>
      <c r="D17" s="61"/>
      <c r="E17" s="39"/>
    </row>
    <row r="18" spans="1:5" ht="30" customHeight="1" x14ac:dyDescent="0.25">
      <c r="A18" s="47" t="s">
        <v>40</v>
      </c>
      <c r="B18" s="70">
        <v>3</v>
      </c>
      <c r="C18" s="71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>160</v>
      </c>
      <c r="D18" s="61">
        <f>ROUNDUP(SUM(TotalAreaConc[[#This Row],[Column3]]/IF(Calculator!$A$2=1,5,IF(Calculator!$A$2=2,30,IF(Calculator!$A$2=3,55,"")))),0)</f>
        <v>3</v>
      </c>
      <c r="E18" s="39" t="str">
        <f>VLOOKUP(A18,GALLON55CONC[],2,0)&amp;IF(Calculator!$A$2=1,"P",IF(Calculator!$A$2=2,"K",IF(Calculator!$A$2=3,"D","")))</f>
        <v>C1460D</v>
      </c>
    </row>
    <row r="19" spans="1:5" ht="30" customHeight="1" x14ac:dyDescent="0.25">
      <c r="A19" s="47" t="s">
        <v>41</v>
      </c>
      <c r="B19" s="70">
        <v>2</v>
      </c>
      <c r="C19" s="71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>72</v>
      </c>
      <c r="D19" s="61">
        <f>ROUNDUP(SUM(TotalAreaConc[[#This Row],[Column3]]/IF(Calculator!$A$2=1,5,IF(Calculator!$A$2=2,30,IF(Calculator!$A$2=3,55,"")))),0)</f>
        <v>2</v>
      </c>
      <c r="E19" s="39" t="str">
        <f>VLOOKUP(A19,GALLON55CONC[],2,0)&amp;IF(Calculator!$A$2=1,"P",IF(Calculator!$A$2=2,"K",IF(Calculator!$A$2=3,"D","")))</f>
        <v>C1450D</v>
      </c>
    </row>
    <row r="20" spans="1:5" ht="30" customHeight="1" x14ac:dyDescent="0.25">
      <c r="A20" s="72" t="s">
        <v>42</v>
      </c>
      <c r="B20" s="39"/>
      <c r="C20" s="71"/>
      <c r="D20" s="61"/>
      <c r="E20" s="39"/>
    </row>
    <row r="21" spans="1:5" ht="30" customHeight="1" x14ac:dyDescent="0.25">
      <c r="A21" s="47" t="s">
        <v>40</v>
      </c>
      <c r="B21" s="70">
        <v>5</v>
      </c>
      <c r="C21" s="71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>267</v>
      </c>
      <c r="D21" s="61">
        <f>ROUNDUP(SUM(TotalAreaConc[[#This Row],[Column3]]/IF(Calculator!$A$2=1,5,IF(Calculator!$A$2=2,30,IF(Calculator!$A$2=3,55,"")))),0)</f>
        <v>5</v>
      </c>
      <c r="E21" s="39" t="str">
        <f>VLOOKUP(A21,GALLON55CONC[],2,0)&amp;IF(Calculator!$A$2=1,"P",IF(Calculator!$A$2=2,"K",IF(Calculator!$A$2=3,"D","")))</f>
        <v>C1460D</v>
      </c>
    </row>
    <row r="22" spans="1:5" ht="30" customHeight="1" x14ac:dyDescent="0.25">
      <c r="A22" s="47" t="s">
        <v>41</v>
      </c>
      <c r="B22" s="70">
        <v>2</v>
      </c>
      <c r="C22" s="71">
        <f>IFERROR(IF(Calculator!$A$3=1,ROUNDUP(SUM(VLOOKUP(TotalAreaConc[[#This Row],[Column1]],GALLON55CONC[],3,FALSE)*$C$3*TotalAreaConc[[#This Row],[Column2]]),0),IF(Calculator!$A$3=2,ROUNDUP(SUM(VLOOKUP(TotalAreaConc[[#This Row],[Column1]],GALLON55CONC[],4,FALSE)*$C$3*TotalAreaConc[[#This Row],[Column2]]),0),IF(Calculator!$A$3=3,ROUNDUP(SUM(VLOOKUP(TotalAreaConc[[#This Row],[Column1]],GALLON55CONC[],5,FALSE)*$C$3*TotalAreaConc[[#This Row],[Column2]]),0),IF(Calculator!$A$3=4,ROUNDUP(SUM(VLOOKUP(TotalAreaConc[[#This Row],[Column1]],GALLON55CONC[],6,FALSE)*$C$3*TotalAreaConc[[#This Row],[Column2]]),0))))),"")</f>
        <v>72</v>
      </c>
      <c r="D22" s="61">
        <f>ROUNDUP(SUM(TotalAreaConc[[#This Row],[Column3]]/IF(Calculator!$A$2=1,5,IF(Calculator!$A$2=2,30,IF(Calculator!$A$2=3,55,"")))),0)</f>
        <v>2</v>
      </c>
      <c r="E22" s="39" t="str">
        <f>VLOOKUP(A22,GALLON55CONC[],2,0)&amp;IF(Calculator!$A$2=1,"P",IF(Calculator!$A$2=2,"K",IF(Calculator!$A$2=3,"D","")))</f>
        <v>C1450D</v>
      </c>
    </row>
    <row r="23" spans="1:5" ht="30" customHeight="1" x14ac:dyDescent="0.25">
      <c r="A23" s="68" t="s">
        <v>43</v>
      </c>
      <c r="B23" s="69" t="s">
        <v>27</v>
      </c>
      <c r="C23" s="69" t="s">
        <v>28</v>
      </c>
      <c r="D23" s="39"/>
      <c r="E23" s="60" t="s">
        <v>30</v>
      </c>
    </row>
    <row r="24" spans="1:5" ht="30" customHeight="1" x14ac:dyDescent="0.25">
      <c r="A24" s="47" t="s">
        <v>44</v>
      </c>
      <c r="B24" s="70">
        <v>1</v>
      </c>
      <c r="C24" s="70"/>
      <c r="D24" s="39">
        <f>TotalAreaConc[[#This Row],[Column3]]</f>
        <v>0</v>
      </c>
      <c r="E24" s="39" t="str">
        <f>VLOOKUP(A24,GALLON55CONC[],2,0)</f>
        <v>C1610G</v>
      </c>
    </row>
    <row r="25" spans="1:5" ht="30" customHeight="1" x14ac:dyDescent="0.25">
      <c r="A25" s="47" t="s">
        <v>45</v>
      </c>
      <c r="B25" s="70">
        <v>1</v>
      </c>
      <c r="C25" s="70"/>
      <c r="D25" s="39">
        <f>TotalAreaConc[[#This Row],[Column3]]</f>
        <v>0</v>
      </c>
      <c r="E25" s="39" t="str">
        <f>VLOOKUP(A25,GALLON55CONC[],2,0)</f>
        <v>C1620G</v>
      </c>
    </row>
    <row r="26" spans="1:5" ht="30" customHeight="1" x14ac:dyDescent="0.25">
      <c r="A26" s="68" t="s">
        <v>46</v>
      </c>
      <c r="B26" s="69" t="s">
        <v>47</v>
      </c>
      <c r="C26" s="39"/>
      <c r="D26" s="39"/>
      <c r="E26" s="39"/>
    </row>
    <row r="27" spans="1:5" x14ac:dyDescent="0.25">
      <c r="A27" s="47" t="s">
        <v>48</v>
      </c>
      <c r="B27" s="73"/>
      <c r="C27" s="39"/>
      <c r="D27" s="39"/>
      <c r="E27" s="39"/>
    </row>
  </sheetData>
  <sheetProtection algorithmName="SHA-512" hashValue="NOeTaTocywLcfluke1irjLF4YxjtFT+CRkpSBkqd4tpZnCoBHkLZfcYVSSBL6/yB6ekrT5ER1thlJdx5htho/Q==" saltValue="BmEU2unXv853Y3yXLMDGsA==" spinCount="100000" sheet="1" formatCells="0" formatColumns="0" formatRows="0" insertColumns="0" insertRows="0" insertHyperlinks="0" deleteColumns="0" deleteRows="0" sort="0" autoFilter="0" pivotTables="0"/>
  <mergeCells count="1">
    <mergeCell ref="A1:C1"/>
  </mergeCells>
  <conditionalFormatting sqref="B3">
    <cfRule type="cellIs" dxfId="53" priority="1" operator="equal">
      <formula>0</formula>
    </cfRule>
  </conditionalFormatting>
  <dataValidations count="1">
    <dataValidation type="list" allowBlank="1" showInputMessage="1" showErrorMessage="1" sqref="A1:C1 C3" xr:uid="{D967D369-C266-4AD0-A45B-B8CD415B2C6D}">
      <formula1>Court_DropDowns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BA97-F8CB-4E51-A43E-90DB98899D1E}">
  <sheetPr codeName="Sheet10"/>
  <dimension ref="A1:J15"/>
  <sheetViews>
    <sheetView workbookViewId="0">
      <selection activeCell="A31" sqref="A31"/>
    </sheetView>
  </sheetViews>
  <sheetFormatPr defaultRowHeight="15" x14ac:dyDescent="0.25"/>
  <cols>
    <col min="1" max="1" width="48.5703125" bestFit="1" customWidth="1"/>
    <col min="2" max="2" width="14.85546875" customWidth="1"/>
    <col min="3" max="3" width="28.140625" bestFit="1" customWidth="1"/>
    <col min="4" max="4" width="26.7109375" bestFit="1" customWidth="1"/>
    <col min="5" max="5" width="37" bestFit="1" customWidth="1"/>
    <col min="6" max="6" width="34.7109375" bestFit="1" customWidth="1"/>
    <col min="7" max="7" width="9.5703125" customWidth="1"/>
    <col min="8" max="8" width="10.5703125" bestFit="1" customWidth="1"/>
    <col min="9" max="9" width="10" customWidth="1"/>
    <col min="10" max="10" width="11.7109375" customWidth="1"/>
  </cols>
  <sheetData>
    <row r="1" spans="1:10" ht="15.75" thickBot="1" x14ac:dyDescent="0.3">
      <c r="A1" s="1" t="s">
        <v>78</v>
      </c>
      <c r="B1" s="2" t="s">
        <v>30</v>
      </c>
      <c r="C1" s="3" t="s">
        <v>79</v>
      </c>
      <c r="D1" s="3" t="s">
        <v>80</v>
      </c>
      <c r="E1" s="3" t="s">
        <v>81</v>
      </c>
      <c r="F1" s="3" t="s">
        <v>82</v>
      </c>
      <c r="G1" s="3" t="s">
        <v>83</v>
      </c>
      <c r="H1" s="3" t="s">
        <v>84</v>
      </c>
      <c r="I1" s="3" t="s">
        <v>85</v>
      </c>
      <c r="J1" s="4" t="s">
        <v>86</v>
      </c>
    </row>
    <row r="2" spans="1:10" ht="15.75" thickTop="1" x14ac:dyDescent="0.25">
      <c r="A2" s="5" t="s">
        <v>31</v>
      </c>
      <c r="B2" s="6" t="s">
        <v>87</v>
      </c>
      <c r="C2" s="6">
        <v>0.04</v>
      </c>
      <c r="D2" s="6"/>
      <c r="E2" s="6">
        <v>0.04</v>
      </c>
      <c r="F2" s="6"/>
      <c r="G2" s="6">
        <v>510</v>
      </c>
      <c r="H2" s="7">
        <v>1045.99</v>
      </c>
      <c r="I2" s="8">
        <v>55</v>
      </c>
      <c r="J2" s="9">
        <v>4</v>
      </c>
    </row>
    <row r="3" spans="1:10" ht="15.75" thickBot="1" x14ac:dyDescent="0.3">
      <c r="A3" s="10" t="s">
        <v>32</v>
      </c>
      <c r="B3" s="11" t="s">
        <v>88</v>
      </c>
      <c r="C3" s="11">
        <v>0.11</v>
      </c>
      <c r="D3" s="11">
        <v>0.13</v>
      </c>
      <c r="E3" s="11">
        <v>0.11</v>
      </c>
      <c r="F3" s="11">
        <v>0.11</v>
      </c>
      <c r="G3" s="11">
        <v>785</v>
      </c>
      <c r="H3" s="12">
        <v>956.99</v>
      </c>
      <c r="I3" s="13">
        <v>55</v>
      </c>
      <c r="J3" s="14">
        <v>4</v>
      </c>
    </row>
    <row r="4" spans="1:10" ht="15.75" thickBot="1" x14ac:dyDescent="0.3">
      <c r="A4" s="46" t="s">
        <v>41</v>
      </c>
      <c r="B4" s="11" t="s">
        <v>89</v>
      </c>
      <c r="C4" s="11">
        <v>0.1</v>
      </c>
      <c r="D4" s="11">
        <v>0.1</v>
      </c>
      <c r="E4" s="11">
        <v>0.1</v>
      </c>
      <c r="F4" s="11">
        <v>0.1</v>
      </c>
      <c r="G4" s="11">
        <v>550</v>
      </c>
      <c r="H4" s="12">
        <v>1060.99</v>
      </c>
      <c r="I4" s="13">
        <v>55</v>
      </c>
      <c r="J4" s="14">
        <v>4</v>
      </c>
    </row>
    <row r="5" spans="1:10" ht="15.75" thickBot="1" x14ac:dyDescent="0.3">
      <c r="A5" s="46" t="s">
        <v>40</v>
      </c>
      <c r="B5" s="6" t="s">
        <v>90</v>
      </c>
      <c r="C5" s="6">
        <v>0.15</v>
      </c>
      <c r="D5" s="6">
        <v>0.15</v>
      </c>
      <c r="E5" s="6">
        <v>0.15</v>
      </c>
      <c r="F5" s="6">
        <v>0.15</v>
      </c>
      <c r="G5" s="6">
        <v>550</v>
      </c>
      <c r="H5" s="15">
        <v>1060.99</v>
      </c>
      <c r="I5" s="8">
        <v>55</v>
      </c>
      <c r="J5" s="9">
        <v>4</v>
      </c>
    </row>
    <row r="6" spans="1:10" ht="15.75" thickBot="1" x14ac:dyDescent="0.3">
      <c r="A6" s="46" t="s">
        <v>34</v>
      </c>
      <c r="B6" s="6" t="s">
        <v>91</v>
      </c>
      <c r="C6" s="6">
        <v>7.0000000000000007E-2</v>
      </c>
      <c r="D6" s="6">
        <v>0.09</v>
      </c>
      <c r="E6" s="6">
        <v>7.0000000000000007E-2</v>
      </c>
      <c r="F6" s="6">
        <v>7.0000000000000007E-2</v>
      </c>
      <c r="G6" s="6">
        <v>660</v>
      </c>
      <c r="H6" s="15">
        <v>821.99</v>
      </c>
      <c r="I6" s="8">
        <v>55</v>
      </c>
      <c r="J6" s="9">
        <v>4</v>
      </c>
    </row>
    <row r="7" spans="1:10" x14ac:dyDescent="0.25">
      <c r="A7" s="5" t="s">
        <v>60</v>
      </c>
      <c r="B7" s="6" t="s">
        <v>92</v>
      </c>
      <c r="C7" s="6">
        <v>7.0000000000000007E-2</v>
      </c>
      <c r="D7" s="6">
        <v>0.09</v>
      </c>
      <c r="E7" s="6">
        <v>7.0000000000000007E-2</v>
      </c>
      <c r="F7" s="6">
        <v>7.0000000000000007E-2</v>
      </c>
      <c r="G7" s="6">
        <v>660</v>
      </c>
      <c r="H7" s="15">
        <v>1056.99</v>
      </c>
      <c r="I7" s="8">
        <v>55</v>
      </c>
      <c r="J7" s="9">
        <v>4</v>
      </c>
    </row>
    <row r="8" spans="1:10" x14ac:dyDescent="0.25">
      <c r="A8" s="17" t="s">
        <v>36</v>
      </c>
      <c r="B8" s="18" t="s">
        <v>93</v>
      </c>
      <c r="C8" s="18">
        <v>0.09</v>
      </c>
      <c r="D8" s="18">
        <v>0.11</v>
      </c>
      <c r="E8" s="18">
        <v>0.09</v>
      </c>
      <c r="F8" s="18">
        <v>0.09</v>
      </c>
      <c r="G8" s="18"/>
      <c r="H8" s="19"/>
      <c r="I8" s="20"/>
      <c r="J8" s="21"/>
    </row>
    <row r="9" spans="1:10" x14ac:dyDescent="0.25">
      <c r="A9" s="17" t="s">
        <v>61</v>
      </c>
      <c r="B9" s="18" t="s">
        <v>94</v>
      </c>
      <c r="C9" s="18">
        <v>0.09</v>
      </c>
      <c r="D9" s="18">
        <v>0.11</v>
      </c>
      <c r="E9" s="18">
        <v>0.09</v>
      </c>
      <c r="F9" s="18">
        <v>0.09</v>
      </c>
      <c r="G9" s="18">
        <v>54</v>
      </c>
      <c r="H9" s="19">
        <v>90.99</v>
      </c>
      <c r="I9" s="20">
        <v>5</v>
      </c>
      <c r="J9" s="21">
        <v>36</v>
      </c>
    </row>
    <row r="10" spans="1:10" x14ac:dyDescent="0.25">
      <c r="A10" s="17" t="s">
        <v>44</v>
      </c>
      <c r="B10" s="18" t="s">
        <v>95</v>
      </c>
      <c r="C10" s="18"/>
      <c r="D10" s="18"/>
      <c r="E10" s="18"/>
      <c r="F10" s="18"/>
      <c r="G10" s="18"/>
      <c r="H10" s="19"/>
      <c r="I10" s="20"/>
      <c r="J10" s="21"/>
    </row>
    <row r="11" spans="1:10" x14ac:dyDescent="0.25">
      <c r="A11" s="17" t="s">
        <v>45</v>
      </c>
      <c r="B11" s="18" t="s">
        <v>96</v>
      </c>
      <c r="C11" s="18"/>
      <c r="D11" s="18"/>
      <c r="E11" s="18"/>
      <c r="F11" s="18"/>
      <c r="G11" s="18"/>
      <c r="H11" s="19"/>
      <c r="I11" s="20"/>
      <c r="J11" s="21"/>
    </row>
    <row r="12" spans="1:10" x14ac:dyDescent="0.25">
      <c r="A12" s="17" t="s">
        <v>23</v>
      </c>
      <c r="B12" s="18" t="s">
        <v>97</v>
      </c>
      <c r="C12" s="18"/>
      <c r="D12" s="18"/>
      <c r="E12" s="18"/>
      <c r="F12" s="18"/>
      <c r="G12" s="18"/>
      <c r="H12" s="19"/>
      <c r="I12" s="20"/>
      <c r="J12" s="21"/>
    </row>
    <row r="13" spans="1:10" x14ac:dyDescent="0.25">
      <c r="A13" s="17" t="s">
        <v>16</v>
      </c>
      <c r="B13" s="18" t="s">
        <v>98</v>
      </c>
      <c r="C13" s="18"/>
      <c r="D13" s="18"/>
      <c r="E13" s="18"/>
      <c r="F13" s="18"/>
      <c r="G13" s="18"/>
      <c r="H13" s="19"/>
      <c r="I13" s="20"/>
      <c r="J13" s="21"/>
    </row>
    <row r="14" spans="1:10" x14ac:dyDescent="0.25">
      <c r="A14" s="17" t="s">
        <v>99</v>
      </c>
      <c r="B14" s="18"/>
      <c r="C14" s="18"/>
      <c r="D14" s="18"/>
      <c r="E14" s="18"/>
      <c r="F14" s="18"/>
      <c r="G14" s="18"/>
      <c r="H14" s="19"/>
      <c r="I14" s="20"/>
      <c r="J14" s="21"/>
    </row>
    <row r="15" spans="1:10" x14ac:dyDescent="0.25">
      <c r="A15" s="17" t="s">
        <v>100</v>
      </c>
      <c r="B15" s="18"/>
      <c r="C15" s="18"/>
      <c r="D15" s="18"/>
      <c r="E15" s="18"/>
      <c r="F15" s="18"/>
      <c r="G15" s="18"/>
      <c r="H15" s="19"/>
      <c r="I15" s="20"/>
      <c r="J15" s="21"/>
    </row>
  </sheetData>
  <sheetProtection algorithmName="SHA-512" hashValue="wvy50oBPRiWFsq0zxa0aAigJos2uaUDc8w2ER9TWBg0ZoW6rZsdJ1WtTz2fmjZ2sVJrshyOgqTT7rm0rMRkPxA==" saltValue="YzA0GqBwQL9Ku+89A5aI6w==" spinCount="100000" sheet="1" objects="1" scenarios="1"/>
  <phoneticPr fontId="9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00A4-C294-43E2-988D-6B1A470496F6}">
  <sheetPr codeName="Sheet5"/>
  <dimension ref="A1:J29"/>
  <sheetViews>
    <sheetView workbookViewId="0">
      <selection activeCell="A31" sqref="A31"/>
    </sheetView>
  </sheetViews>
  <sheetFormatPr defaultRowHeight="15" x14ac:dyDescent="0.25"/>
  <cols>
    <col min="1" max="1" width="48.5703125" bestFit="1" customWidth="1"/>
    <col min="2" max="2" width="14.85546875" customWidth="1"/>
    <col min="3" max="3" width="28.140625" bestFit="1" customWidth="1"/>
    <col min="4" max="4" width="26.7109375" bestFit="1" customWidth="1"/>
    <col min="5" max="5" width="26.7109375" customWidth="1"/>
    <col min="6" max="6" width="34.7109375" bestFit="1" customWidth="1"/>
    <col min="7" max="7" width="9.5703125" customWidth="1"/>
    <col min="8" max="8" width="10.5703125" bestFit="1" customWidth="1"/>
    <col min="9" max="9" width="10" customWidth="1"/>
    <col min="10" max="10" width="11.7109375" customWidth="1"/>
  </cols>
  <sheetData>
    <row r="1" spans="1:10" ht="15.75" thickBot="1" x14ac:dyDescent="0.3">
      <c r="A1" s="1" t="s">
        <v>78</v>
      </c>
      <c r="B1" s="2" t="s">
        <v>30</v>
      </c>
      <c r="C1" s="3" t="s">
        <v>79</v>
      </c>
      <c r="D1" s="3" t="s">
        <v>80</v>
      </c>
      <c r="E1" s="3" t="s">
        <v>81</v>
      </c>
      <c r="F1" s="3" t="s">
        <v>82</v>
      </c>
      <c r="G1" s="3" t="s">
        <v>83</v>
      </c>
      <c r="H1" s="3" t="s">
        <v>84</v>
      </c>
      <c r="I1" s="3" t="s">
        <v>85</v>
      </c>
      <c r="J1" s="4" t="s">
        <v>86</v>
      </c>
    </row>
    <row r="2" spans="1:10" ht="15.75" thickTop="1" x14ac:dyDescent="0.25">
      <c r="A2" s="5" t="s">
        <v>31</v>
      </c>
      <c r="B2" s="6" t="s">
        <v>87</v>
      </c>
      <c r="C2" s="6">
        <v>0.04</v>
      </c>
      <c r="D2" s="6"/>
      <c r="E2" s="6">
        <v>0.04</v>
      </c>
      <c r="F2" s="6"/>
      <c r="G2" s="6">
        <v>510</v>
      </c>
      <c r="H2" s="7">
        <v>1045.99</v>
      </c>
      <c r="I2" s="8">
        <v>55</v>
      </c>
      <c r="J2" s="9">
        <v>4</v>
      </c>
    </row>
    <row r="3" spans="1:10" x14ac:dyDescent="0.25">
      <c r="A3" s="10" t="s">
        <v>50</v>
      </c>
      <c r="B3" s="11" t="s">
        <v>101</v>
      </c>
      <c r="C3" s="11">
        <v>7.0000000000000007E-2</v>
      </c>
      <c r="D3" s="11">
        <v>0.09</v>
      </c>
      <c r="E3" s="11">
        <v>7.0000000000000007E-2</v>
      </c>
      <c r="F3" s="11">
        <v>7.0000000000000007E-2</v>
      </c>
      <c r="G3" s="11">
        <v>525</v>
      </c>
      <c r="H3" s="12">
        <v>956.99</v>
      </c>
      <c r="I3" s="13">
        <v>55</v>
      </c>
      <c r="J3" s="14">
        <v>4</v>
      </c>
    </row>
    <row r="4" spans="1:10" ht="15.75" thickBot="1" x14ac:dyDescent="0.3">
      <c r="A4" s="5" t="s">
        <v>103</v>
      </c>
      <c r="B4" s="6" t="s">
        <v>104</v>
      </c>
      <c r="C4" s="6">
        <v>7.0000000000000007E-2</v>
      </c>
      <c r="D4" s="6">
        <v>0.09</v>
      </c>
      <c r="E4" s="6">
        <v>7.0000000000000007E-2</v>
      </c>
      <c r="F4" s="6">
        <v>7.0000000000000007E-2</v>
      </c>
      <c r="G4" s="6">
        <v>525</v>
      </c>
      <c r="H4" s="15">
        <v>990.99</v>
      </c>
      <c r="I4" s="8">
        <v>55</v>
      </c>
      <c r="J4" s="9">
        <v>4</v>
      </c>
    </row>
    <row r="5" spans="1:10" ht="15.75" thickBot="1" x14ac:dyDescent="0.3">
      <c r="A5" s="46" t="s">
        <v>41</v>
      </c>
      <c r="B5" s="11" t="s">
        <v>89</v>
      </c>
      <c r="C5" s="11">
        <v>0.1</v>
      </c>
      <c r="D5" s="11">
        <v>0.1</v>
      </c>
      <c r="E5" s="11">
        <v>0.1</v>
      </c>
      <c r="F5" s="11">
        <v>0.1</v>
      </c>
      <c r="G5" s="11">
        <v>550</v>
      </c>
      <c r="H5" s="12">
        <v>1060.99</v>
      </c>
      <c r="I5" s="13">
        <v>55</v>
      </c>
      <c r="J5" s="14">
        <v>4</v>
      </c>
    </row>
    <row r="6" spans="1:10" ht="15.75" thickBot="1" x14ac:dyDescent="0.3">
      <c r="A6" s="46" t="s">
        <v>40</v>
      </c>
      <c r="B6" s="6" t="s">
        <v>90</v>
      </c>
      <c r="C6" s="6">
        <v>0.15</v>
      </c>
      <c r="D6" s="6">
        <v>0.15</v>
      </c>
      <c r="E6" s="6">
        <v>0.15</v>
      </c>
      <c r="F6" s="6">
        <v>0.15</v>
      </c>
      <c r="G6" s="6">
        <v>550</v>
      </c>
      <c r="H6" s="15">
        <v>1060.99</v>
      </c>
      <c r="I6" s="8">
        <v>55</v>
      </c>
      <c r="J6" s="9">
        <v>4</v>
      </c>
    </row>
    <row r="7" spans="1:10" ht="15.75" thickBot="1" x14ac:dyDescent="0.3">
      <c r="A7" s="48" t="s">
        <v>53</v>
      </c>
      <c r="B7" s="11" t="s">
        <v>105</v>
      </c>
      <c r="C7" s="11">
        <v>0.05</v>
      </c>
      <c r="D7" s="11">
        <v>7.0000000000000007E-2</v>
      </c>
      <c r="E7" s="11">
        <v>0.05</v>
      </c>
      <c r="F7" s="11">
        <v>0.05</v>
      </c>
      <c r="G7" s="11">
        <v>570</v>
      </c>
      <c r="H7" s="12">
        <v>821.99</v>
      </c>
      <c r="I7" s="13">
        <v>55</v>
      </c>
      <c r="J7" s="14">
        <v>4</v>
      </c>
    </row>
    <row r="8" spans="1:10" x14ac:dyDescent="0.25">
      <c r="A8" s="10" t="s">
        <v>106</v>
      </c>
      <c r="B8" s="11" t="s">
        <v>107</v>
      </c>
      <c r="C8" s="11">
        <v>0.05</v>
      </c>
      <c r="D8" s="11">
        <v>7.0000000000000007E-2</v>
      </c>
      <c r="E8" s="11">
        <v>0.05</v>
      </c>
      <c r="F8" s="11">
        <v>0.05</v>
      </c>
      <c r="G8" s="11">
        <v>570</v>
      </c>
      <c r="H8" s="12">
        <v>960.99</v>
      </c>
      <c r="I8" s="13">
        <v>55</v>
      </c>
      <c r="J8" s="14">
        <v>4</v>
      </c>
    </row>
    <row r="9" spans="1:10" x14ac:dyDescent="0.25">
      <c r="A9" s="5" t="s">
        <v>60</v>
      </c>
      <c r="B9" s="6" t="s">
        <v>92</v>
      </c>
      <c r="C9" s="6">
        <v>7.0000000000000007E-2</v>
      </c>
      <c r="D9" s="6">
        <v>0.09</v>
      </c>
      <c r="E9" s="6">
        <v>7.0000000000000007E-2</v>
      </c>
      <c r="F9" s="6">
        <v>7.0000000000000007E-2</v>
      </c>
      <c r="G9" s="6">
        <v>660</v>
      </c>
      <c r="H9" s="15">
        <v>1056.99</v>
      </c>
      <c r="I9" s="8">
        <v>55</v>
      </c>
      <c r="J9" s="9">
        <v>4</v>
      </c>
    </row>
    <row r="10" spans="1:10" x14ac:dyDescent="0.25">
      <c r="A10" s="10" t="s">
        <v>44</v>
      </c>
      <c r="B10" s="11" t="s">
        <v>95</v>
      </c>
      <c r="C10" s="11"/>
      <c r="D10" s="11"/>
      <c r="E10" s="11"/>
      <c r="F10" s="11"/>
      <c r="G10" s="11"/>
      <c r="H10" s="16"/>
      <c r="I10" s="13"/>
      <c r="J10" s="14"/>
    </row>
    <row r="11" spans="1:10" x14ac:dyDescent="0.25">
      <c r="A11" s="17" t="s">
        <v>45</v>
      </c>
      <c r="B11" s="18" t="s">
        <v>96</v>
      </c>
      <c r="C11" s="18"/>
      <c r="D11" s="18"/>
      <c r="E11" s="18"/>
      <c r="F11" s="18"/>
      <c r="G11" s="18"/>
      <c r="H11" s="19"/>
      <c r="I11" s="20"/>
      <c r="J11" s="21"/>
    </row>
    <row r="12" spans="1:10" x14ac:dyDescent="0.25">
      <c r="A12" s="10" t="s">
        <v>99</v>
      </c>
      <c r="B12" s="11" t="s">
        <v>52</v>
      </c>
      <c r="C12" s="11"/>
      <c r="D12" s="11"/>
      <c r="E12" s="11"/>
      <c r="F12" s="11"/>
      <c r="G12" s="11"/>
      <c r="H12" s="16"/>
      <c r="I12" s="13"/>
      <c r="J12" s="14"/>
    </row>
    <row r="13" spans="1:10" x14ac:dyDescent="0.25">
      <c r="A13" s="17" t="s">
        <v>100</v>
      </c>
      <c r="B13" s="18" t="s">
        <v>55</v>
      </c>
      <c r="C13" s="18"/>
      <c r="D13" s="18"/>
      <c r="E13" s="18"/>
      <c r="F13" s="18"/>
      <c r="G13" s="18"/>
      <c r="H13" s="19"/>
      <c r="I13" s="20"/>
      <c r="J13" s="21"/>
    </row>
    <row r="28" spans="7:7" x14ac:dyDescent="0.25">
      <c r="G28" s="66" t="s">
        <v>99</v>
      </c>
    </row>
    <row r="29" spans="7:7" x14ac:dyDescent="0.25">
      <c r="G29" s="66" t="s">
        <v>100</v>
      </c>
    </row>
  </sheetData>
  <sheetProtection algorithmName="SHA-512" hashValue="0SwHyQLaEF4H6N8K2ighXoUJVR+NGOYbuFI0qIudahziJUDmLCtbyoyNivlmN2beFAm+WiFED+jd8xH+67dRBg==" saltValue="0YMGfM6XH0Xk3DwSL4NuHQ==" spinCount="100000" sheet="1" objects="1" scenarios="1"/>
  <phoneticPr fontId="9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A7291-F8F6-4ED7-A790-294B24D396C9}">
  <sheetPr codeName="Sheet2"/>
  <dimension ref="A1:G150"/>
  <sheetViews>
    <sheetView topLeftCell="A108" workbookViewId="0">
      <selection activeCell="A31" sqref="A31"/>
    </sheetView>
  </sheetViews>
  <sheetFormatPr defaultColWidth="9.140625" defaultRowHeight="12.75" x14ac:dyDescent="0.2"/>
  <cols>
    <col min="1" max="1" width="47.42578125" style="28" bestFit="1" customWidth="1"/>
    <col min="2" max="2" width="14.85546875" style="28" customWidth="1"/>
    <col min="3" max="3" width="16.5703125" style="28" customWidth="1"/>
    <col min="4" max="5" width="10.28515625" style="28" bestFit="1" customWidth="1"/>
    <col min="6" max="6" width="12.42578125" style="28" bestFit="1" customWidth="1"/>
    <col min="7" max="7" width="14.140625" style="28" bestFit="1" customWidth="1"/>
    <col min="8" max="16384" width="9.140625" style="28"/>
  </cols>
  <sheetData>
    <row r="1" spans="1:7" x14ac:dyDescent="0.2">
      <c r="A1" s="38" t="s">
        <v>78</v>
      </c>
      <c r="B1" s="31" t="s">
        <v>30</v>
      </c>
      <c r="C1" s="38" t="s">
        <v>108</v>
      </c>
      <c r="D1" s="38" t="s">
        <v>83</v>
      </c>
      <c r="E1" s="38" t="s">
        <v>84</v>
      </c>
      <c r="F1" s="38" t="s">
        <v>85</v>
      </c>
      <c r="G1" s="38" t="s">
        <v>86</v>
      </c>
    </row>
    <row r="2" spans="1:7" ht="15" x14ac:dyDescent="0.2">
      <c r="A2" s="28" t="s">
        <v>109</v>
      </c>
      <c r="B2" s="31" t="s">
        <v>110</v>
      </c>
      <c r="C2" s="31">
        <v>0.05</v>
      </c>
      <c r="D2" s="31">
        <v>46</v>
      </c>
      <c r="E2" s="36">
        <v>99.99</v>
      </c>
      <c r="F2" s="35">
        <v>5</v>
      </c>
      <c r="G2" s="35">
        <v>36</v>
      </c>
    </row>
    <row r="3" spans="1:7" ht="15" x14ac:dyDescent="0.2">
      <c r="A3" s="28" t="s">
        <v>111</v>
      </c>
      <c r="B3" s="31" t="s">
        <v>112</v>
      </c>
      <c r="C3" s="31">
        <v>0.05</v>
      </c>
      <c r="D3" s="31">
        <v>270</v>
      </c>
      <c r="E3" s="36">
        <v>614.99</v>
      </c>
      <c r="F3" s="35">
        <v>30</v>
      </c>
      <c r="G3" s="35">
        <v>5</v>
      </c>
    </row>
    <row r="4" spans="1:7" ht="15" x14ac:dyDescent="0.2">
      <c r="A4" s="28" t="s">
        <v>113</v>
      </c>
      <c r="B4" s="31" t="s">
        <v>114</v>
      </c>
      <c r="C4" s="31">
        <v>0.05</v>
      </c>
      <c r="D4" s="31">
        <v>510</v>
      </c>
      <c r="E4" s="36">
        <v>1045.99</v>
      </c>
      <c r="F4" s="35">
        <v>55</v>
      </c>
      <c r="G4" s="35">
        <v>4</v>
      </c>
    </row>
    <row r="5" spans="1:7" x14ac:dyDescent="0.2">
      <c r="A5" s="28" t="s">
        <v>115</v>
      </c>
      <c r="B5" s="31" t="s">
        <v>116</v>
      </c>
      <c r="C5" s="31">
        <v>7.0000000000000007E-2</v>
      </c>
      <c r="D5" s="31">
        <v>48</v>
      </c>
      <c r="E5" s="37">
        <v>92.99</v>
      </c>
      <c r="F5" s="35">
        <v>5</v>
      </c>
      <c r="G5" s="35">
        <v>36</v>
      </c>
    </row>
    <row r="6" spans="1:7" x14ac:dyDescent="0.2">
      <c r="A6" s="28" t="s">
        <v>117</v>
      </c>
      <c r="B6" s="31" t="s">
        <v>118</v>
      </c>
      <c r="C6" s="31">
        <v>7.0000000000000007E-2</v>
      </c>
      <c r="D6" s="31">
        <v>280</v>
      </c>
      <c r="E6" s="37">
        <v>577.99</v>
      </c>
      <c r="F6" s="35">
        <v>30</v>
      </c>
      <c r="G6" s="35">
        <v>5</v>
      </c>
    </row>
    <row r="7" spans="1:7" x14ac:dyDescent="0.2">
      <c r="A7" s="28" t="s">
        <v>119</v>
      </c>
      <c r="B7" s="31" t="s">
        <v>120</v>
      </c>
      <c r="C7" s="31">
        <v>7.0000000000000007E-2</v>
      </c>
      <c r="D7" s="31">
        <v>525</v>
      </c>
      <c r="E7" s="37">
        <v>956.99</v>
      </c>
      <c r="F7" s="35">
        <v>55</v>
      </c>
      <c r="G7" s="35">
        <v>4</v>
      </c>
    </row>
    <row r="8" spans="1:7" x14ac:dyDescent="0.2">
      <c r="A8" s="28" t="s">
        <v>121</v>
      </c>
      <c r="B8" s="31" t="s">
        <v>122</v>
      </c>
      <c r="C8" s="31">
        <v>7.0000000000000007E-2</v>
      </c>
      <c r="D8" s="31">
        <v>48</v>
      </c>
      <c r="E8" s="37">
        <v>92.99</v>
      </c>
      <c r="F8" s="35">
        <v>5</v>
      </c>
      <c r="G8" s="35">
        <v>36</v>
      </c>
    </row>
    <row r="9" spans="1:7" x14ac:dyDescent="0.2">
      <c r="A9" s="28" t="s">
        <v>123</v>
      </c>
      <c r="B9" s="31" t="s">
        <v>124</v>
      </c>
      <c r="C9" s="31">
        <v>7.0000000000000007E-2</v>
      </c>
      <c r="D9" s="31">
        <v>280</v>
      </c>
      <c r="E9" s="37">
        <v>577.99</v>
      </c>
      <c r="F9" s="35">
        <v>30</v>
      </c>
      <c r="G9" s="35">
        <v>5</v>
      </c>
    </row>
    <row r="10" spans="1:7" x14ac:dyDescent="0.2">
      <c r="A10" s="28" t="s">
        <v>102</v>
      </c>
      <c r="B10" s="31" t="s">
        <v>125</v>
      </c>
      <c r="C10" s="31">
        <v>7.0000000000000007E-2</v>
      </c>
      <c r="D10" s="31">
        <v>525</v>
      </c>
      <c r="E10" s="37">
        <v>956.99</v>
      </c>
      <c r="F10" s="35">
        <v>55</v>
      </c>
      <c r="G10" s="35">
        <v>4</v>
      </c>
    </row>
    <row r="11" spans="1:7" x14ac:dyDescent="0.2">
      <c r="A11" s="28" t="s">
        <v>126</v>
      </c>
      <c r="B11" s="31" t="s">
        <v>127</v>
      </c>
      <c r="C11" s="31">
        <v>0.11</v>
      </c>
      <c r="D11" s="31">
        <v>73</v>
      </c>
      <c r="E11" s="37">
        <v>92.99</v>
      </c>
      <c r="F11" s="35">
        <v>5</v>
      </c>
      <c r="G11" s="35">
        <v>36</v>
      </c>
    </row>
    <row r="12" spans="1:7" x14ac:dyDescent="0.2">
      <c r="A12" s="28" t="s">
        <v>128</v>
      </c>
      <c r="B12" s="31" t="s">
        <v>129</v>
      </c>
      <c r="C12" s="31">
        <v>0.11</v>
      </c>
      <c r="D12" s="31">
        <v>435</v>
      </c>
      <c r="E12" s="37">
        <v>577.99</v>
      </c>
      <c r="F12" s="35">
        <v>30</v>
      </c>
      <c r="G12" s="35">
        <v>5</v>
      </c>
    </row>
    <row r="13" spans="1:7" x14ac:dyDescent="0.2">
      <c r="A13" s="28" t="s">
        <v>130</v>
      </c>
      <c r="B13" s="31" t="s">
        <v>131</v>
      </c>
      <c r="C13" s="31">
        <v>0.11</v>
      </c>
      <c r="D13" s="31">
        <v>785</v>
      </c>
      <c r="E13" s="37">
        <v>956.99</v>
      </c>
      <c r="F13" s="35">
        <v>55</v>
      </c>
      <c r="G13" s="35">
        <v>4</v>
      </c>
    </row>
    <row r="14" spans="1:7" x14ac:dyDescent="0.2">
      <c r="A14" s="28" t="s">
        <v>132</v>
      </c>
      <c r="B14" s="31" t="s">
        <v>133</v>
      </c>
      <c r="C14" s="31">
        <v>7.0000000000000007E-2</v>
      </c>
      <c r="D14" s="31">
        <v>48</v>
      </c>
      <c r="E14" s="37">
        <v>96.99</v>
      </c>
      <c r="F14" s="35">
        <v>5</v>
      </c>
      <c r="G14" s="35">
        <v>36</v>
      </c>
    </row>
    <row r="15" spans="1:7" x14ac:dyDescent="0.2">
      <c r="A15" s="28" t="s">
        <v>134</v>
      </c>
      <c r="B15" s="31" t="s">
        <v>135</v>
      </c>
      <c r="C15" s="31">
        <v>7.0000000000000007E-2</v>
      </c>
      <c r="D15" s="31">
        <v>280</v>
      </c>
      <c r="E15" s="37">
        <v>607.99</v>
      </c>
      <c r="F15" s="35">
        <v>30</v>
      </c>
      <c r="G15" s="35">
        <v>5</v>
      </c>
    </row>
    <row r="16" spans="1:7" x14ac:dyDescent="0.2">
      <c r="A16" s="28" t="s">
        <v>136</v>
      </c>
      <c r="B16" s="31" t="s">
        <v>137</v>
      </c>
      <c r="C16" s="31">
        <v>7.0000000000000007E-2</v>
      </c>
      <c r="D16" s="31">
        <v>525</v>
      </c>
      <c r="E16" s="37">
        <v>990.99</v>
      </c>
      <c r="F16" s="35">
        <v>55</v>
      </c>
      <c r="G16" s="35">
        <v>4</v>
      </c>
    </row>
    <row r="17" spans="1:7" x14ac:dyDescent="0.2">
      <c r="A17" s="28" t="s">
        <v>138</v>
      </c>
      <c r="B17" s="31" t="s">
        <v>139</v>
      </c>
      <c r="C17" s="31">
        <v>0.1</v>
      </c>
      <c r="D17" s="31">
        <v>50</v>
      </c>
      <c r="E17" s="37">
        <v>102.99</v>
      </c>
      <c r="F17" s="35">
        <v>5</v>
      </c>
      <c r="G17" s="35">
        <v>36</v>
      </c>
    </row>
    <row r="18" spans="1:7" x14ac:dyDescent="0.2">
      <c r="A18" s="28" t="s">
        <v>140</v>
      </c>
      <c r="B18" s="31" t="s">
        <v>141</v>
      </c>
      <c r="C18" s="31">
        <v>0.1</v>
      </c>
      <c r="D18" s="31">
        <v>290</v>
      </c>
      <c r="E18" s="37">
        <v>635.99</v>
      </c>
      <c r="F18" s="35">
        <v>30</v>
      </c>
      <c r="G18" s="35">
        <v>5</v>
      </c>
    </row>
    <row r="19" spans="1:7" x14ac:dyDescent="0.2">
      <c r="A19" s="28" t="s">
        <v>142</v>
      </c>
      <c r="B19" s="31" t="s">
        <v>143</v>
      </c>
      <c r="C19" s="31">
        <v>0.1</v>
      </c>
      <c r="D19" s="31">
        <v>550</v>
      </c>
      <c r="E19" s="37">
        <v>1060.99</v>
      </c>
      <c r="F19" s="35">
        <v>55</v>
      </c>
      <c r="G19" s="35">
        <v>4</v>
      </c>
    </row>
    <row r="20" spans="1:7" x14ac:dyDescent="0.2">
      <c r="A20" s="28" t="s">
        <v>144</v>
      </c>
      <c r="B20" s="31" t="s">
        <v>145</v>
      </c>
      <c r="C20" s="31">
        <v>0.15</v>
      </c>
      <c r="D20" s="31">
        <v>50</v>
      </c>
      <c r="E20" s="37">
        <v>102.99</v>
      </c>
      <c r="F20" s="35">
        <v>5</v>
      </c>
      <c r="G20" s="35">
        <v>36</v>
      </c>
    </row>
    <row r="21" spans="1:7" x14ac:dyDescent="0.2">
      <c r="A21" s="28" t="s">
        <v>146</v>
      </c>
      <c r="B21" s="31" t="s">
        <v>147</v>
      </c>
      <c r="C21" s="31">
        <v>0.15</v>
      </c>
      <c r="D21" s="31">
        <v>290</v>
      </c>
      <c r="E21" s="37">
        <v>635.99</v>
      </c>
      <c r="F21" s="35">
        <v>30</v>
      </c>
      <c r="G21" s="35">
        <v>5</v>
      </c>
    </row>
    <row r="22" spans="1:7" x14ac:dyDescent="0.2">
      <c r="A22" s="28" t="s">
        <v>148</v>
      </c>
      <c r="B22" s="31" t="s">
        <v>149</v>
      </c>
      <c r="C22" s="31">
        <v>0.15</v>
      </c>
      <c r="D22" s="31">
        <v>550</v>
      </c>
      <c r="E22" s="37">
        <v>1060.99</v>
      </c>
      <c r="F22" s="35">
        <v>55</v>
      </c>
      <c r="G22" s="35">
        <v>4</v>
      </c>
    </row>
    <row r="23" spans="1:7" x14ac:dyDescent="0.2">
      <c r="A23" s="28" t="s">
        <v>150</v>
      </c>
      <c r="B23" s="31" t="s">
        <v>151</v>
      </c>
      <c r="C23" s="31">
        <v>0.05</v>
      </c>
      <c r="D23" s="31">
        <v>48</v>
      </c>
      <c r="E23" s="37">
        <v>73.989999999999995</v>
      </c>
      <c r="F23" s="35">
        <v>5</v>
      </c>
      <c r="G23" s="35">
        <v>36</v>
      </c>
    </row>
    <row r="24" spans="1:7" x14ac:dyDescent="0.2">
      <c r="A24" s="28" t="s">
        <v>152</v>
      </c>
      <c r="B24" s="31" t="s">
        <v>153</v>
      </c>
      <c r="C24" s="31">
        <v>0.05</v>
      </c>
      <c r="D24" s="31">
        <v>305</v>
      </c>
      <c r="E24" s="37">
        <v>518.99</v>
      </c>
      <c r="F24" s="35">
        <v>30</v>
      </c>
      <c r="G24" s="35">
        <v>5</v>
      </c>
    </row>
    <row r="25" spans="1:7" x14ac:dyDescent="0.2">
      <c r="A25" s="28" t="s">
        <v>154</v>
      </c>
      <c r="B25" s="31" t="s">
        <v>155</v>
      </c>
      <c r="C25" s="31">
        <v>0.05</v>
      </c>
      <c r="D25" s="31">
        <v>570</v>
      </c>
      <c r="E25" s="37">
        <v>821.99</v>
      </c>
      <c r="F25" s="35">
        <v>55</v>
      </c>
      <c r="G25" s="35">
        <v>4</v>
      </c>
    </row>
    <row r="26" spans="1:7" x14ac:dyDescent="0.2">
      <c r="A26" s="28" t="s">
        <v>156</v>
      </c>
      <c r="B26" s="31" t="s">
        <v>157</v>
      </c>
      <c r="C26" s="31">
        <v>0.05</v>
      </c>
      <c r="D26" s="31">
        <v>2875</v>
      </c>
      <c r="E26" s="37">
        <v>4107.99</v>
      </c>
      <c r="F26" s="35">
        <v>275</v>
      </c>
      <c r="G26" s="35">
        <v>275</v>
      </c>
    </row>
    <row r="27" spans="1:7" x14ac:dyDescent="0.2">
      <c r="A27" s="28" t="s">
        <v>158</v>
      </c>
      <c r="B27" s="31" t="s">
        <v>159</v>
      </c>
      <c r="C27" s="31">
        <v>7.0000000000000007E-2</v>
      </c>
      <c r="D27" s="31">
        <v>66</v>
      </c>
      <c r="E27" s="37">
        <v>73.989999999999995</v>
      </c>
      <c r="F27" s="35">
        <v>5</v>
      </c>
      <c r="G27" s="35">
        <v>36</v>
      </c>
    </row>
    <row r="28" spans="1:7" x14ac:dyDescent="0.2">
      <c r="A28" s="28" t="s">
        <v>160</v>
      </c>
      <c r="B28" s="31" t="s">
        <v>161</v>
      </c>
      <c r="C28" s="31">
        <v>7.0000000000000007E-2</v>
      </c>
      <c r="D28" s="31">
        <v>390</v>
      </c>
      <c r="E28" s="37">
        <v>518.99</v>
      </c>
      <c r="F28" s="35">
        <v>30</v>
      </c>
      <c r="G28" s="35">
        <v>5</v>
      </c>
    </row>
    <row r="29" spans="1:7" x14ac:dyDescent="0.2">
      <c r="A29" s="28" t="s">
        <v>162</v>
      </c>
      <c r="B29" s="31" t="s">
        <v>163</v>
      </c>
      <c r="C29" s="31">
        <v>7.0000000000000007E-2</v>
      </c>
      <c r="D29" s="31">
        <v>660</v>
      </c>
      <c r="E29" s="37">
        <v>821.99</v>
      </c>
      <c r="F29" s="35">
        <v>55</v>
      </c>
      <c r="G29" s="35">
        <v>4</v>
      </c>
    </row>
    <row r="30" spans="1:7" x14ac:dyDescent="0.2">
      <c r="A30" s="28" t="s">
        <v>164</v>
      </c>
      <c r="B30" s="31" t="s">
        <v>165</v>
      </c>
      <c r="C30" s="31">
        <v>0.05</v>
      </c>
      <c r="D30" s="31">
        <v>305</v>
      </c>
      <c r="E30" s="37">
        <v>592.99</v>
      </c>
      <c r="F30" s="35">
        <v>30</v>
      </c>
      <c r="G30" s="35">
        <v>5</v>
      </c>
    </row>
    <row r="31" spans="1:7" x14ac:dyDescent="0.2">
      <c r="A31" s="28" t="s">
        <v>166</v>
      </c>
      <c r="B31" s="31" t="s">
        <v>167</v>
      </c>
      <c r="C31" s="31">
        <v>0.05</v>
      </c>
      <c r="D31" s="31">
        <v>570</v>
      </c>
      <c r="E31" s="37">
        <v>960.99</v>
      </c>
      <c r="F31" s="35">
        <v>55</v>
      </c>
      <c r="G31" s="35">
        <v>4</v>
      </c>
    </row>
    <row r="32" spans="1:7" x14ac:dyDescent="0.2">
      <c r="A32" s="28" t="s">
        <v>168</v>
      </c>
      <c r="B32" s="31" t="s">
        <v>169</v>
      </c>
      <c r="C32" s="31">
        <v>7.0000000000000007E-2</v>
      </c>
      <c r="D32" s="31">
        <v>66</v>
      </c>
      <c r="E32" s="37">
        <v>95.99</v>
      </c>
      <c r="F32" s="35">
        <v>5</v>
      </c>
      <c r="G32" s="35">
        <v>36</v>
      </c>
    </row>
    <row r="33" spans="1:7" x14ac:dyDescent="0.2">
      <c r="A33" s="28" t="s">
        <v>170</v>
      </c>
      <c r="B33" s="31" t="s">
        <v>171</v>
      </c>
      <c r="C33" s="31">
        <v>7.0000000000000007E-2</v>
      </c>
      <c r="D33" s="31">
        <v>390</v>
      </c>
      <c r="E33" s="37">
        <v>649.99</v>
      </c>
      <c r="F33" s="35">
        <v>30</v>
      </c>
      <c r="G33" s="35">
        <v>5</v>
      </c>
    </row>
    <row r="34" spans="1:7" x14ac:dyDescent="0.2">
      <c r="A34" s="28" t="s">
        <v>172</v>
      </c>
      <c r="B34" s="31" t="s">
        <v>173</v>
      </c>
      <c r="C34" s="31">
        <v>7.0000000000000007E-2</v>
      </c>
      <c r="D34" s="31">
        <v>660</v>
      </c>
      <c r="E34" s="37">
        <v>1056.99</v>
      </c>
      <c r="F34" s="35">
        <v>55</v>
      </c>
      <c r="G34" s="35">
        <v>4</v>
      </c>
    </row>
    <row r="35" spans="1:7" x14ac:dyDescent="0.2">
      <c r="A35" s="28" t="s">
        <v>174</v>
      </c>
      <c r="B35" s="31" t="s">
        <v>94</v>
      </c>
      <c r="C35" s="31">
        <v>0.09</v>
      </c>
      <c r="D35" s="31">
        <v>54</v>
      </c>
      <c r="E35" s="37">
        <v>90.99</v>
      </c>
      <c r="F35" s="35">
        <v>5</v>
      </c>
      <c r="G35" s="35">
        <v>36</v>
      </c>
    </row>
    <row r="36" spans="1:7" x14ac:dyDescent="0.2">
      <c r="A36" s="28" t="s">
        <v>175</v>
      </c>
      <c r="B36" s="31" t="s">
        <v>93</v>
      </c>
      <c r="C36" s="31">
        <v>0.09</v>
      </c>
      <c r="D36" s="31">
        <v>54</v>
      </c>
      <c r="E36" s="37">
        <v>70.989999999999995</v>
      </c>
      <c r="F36" s="35">
        <v>5</v>
      </c>
      <c r="G36" s="35">
        <v>36</v>
      </c>
    </row>
    <row r="37" spans="1:7" x14ac:dyDescent="0.2">
      <c r="A37" s="28" t="s">
        <v>176</v>
      </c>
      <c r="B37" s="31" t="s">
        <v>177</v>
      </c>
      <c r="C37" s="31">
        <v>0.05</v>
      </c>
      <c r="D37" s="31">
        <v>305</v>
      </c>
      <c r="E37" s="37">
        <v>671.99</v>
      </c>
      <c r="F37" s="35">
        <v>30</v>
      </c>
      <c r="G37" s="35">
        <v>5</v>
      </c>
    </row>
    <row r="38" spans="1:7" x14ac:dyDescent="0.2">
      <c r="A38" s="28" t="s">
        <v>178</v>
      </c>
      <c r="B38" s="31" t="s">
        <v>179</v>
      </c>
      <c r="C38" s="31">
        <v>0.05</v>
      </c>
      <c r="D38" s="31">
        <v>570</v>
      </c>
      <c r="E38" s="37">
        <v>1102.99</v>
      </c>
      <c r="F38" s="35">
        <v>55</v>
      </c>
      <c r="G38" s="35">
        <v>4</v>
      </c>
    </row>
    <row r="39" spans="1:7" x14ac:dyDescent="0.2">
      <c r="A39" s="28" t="s">
        <v>180</v>
      </c>
      <c r="B39" s="31" t="s">
        <v>181</v>
      </c>
      <c r="C39" s="31">
        <v>0.05</v>
      </c>
      <c r="D39" s="31">
        <v>305</v>
      </c>
      <c r="E39" s="37">
        <v>671.99</v>
      </c>
      <c r="F39" s="35">
        <v>30</v>
      </c>
      <c r="G39" s="35">
        <v>5</v>
      </c>
    </row>
    <row r="40" spans="1:7" x14ac:dyDescent="0.2">
      <c r="A40" s="28" t="s">
        <v>182</v>
      </c>
      <c r="B40" s="31" t="s">
        <v>183</v>
      </c>
      <c r="C40" s="31">
        <v>0.05</v>
      </c>
      <c r="D40" s="31">
        <v>570</v>
      </c>
      <c r="E40" s="37">
        <v>1102.99</v>
      </c>
      <c r="F40" s="35">
        <v>55</v>
      </c>
      <c r="G40" s="35">
        <v>4</v>
      </c>
    </row>
    <row r="41" spans="1:7" x14ac:dyDescent="0.2">
      <c r="A41" s="28" t="s">
        <v>184</v>
      </c>
      <c r="B41" s="31" t="s">
        <v>185</v>
      </c>
      <c r="C41" s="31">
        <v>0.05</v>
      </c>
      <c r="D41" s="31">
        <v>305</v>
      </c>
      <c r="E41" s="37">
        <v>671.99</v>
      </c>
      <c r="F41" s="35">
        <v>30</v>
      </c>
      <c r="G41" s="35">
        <v>5</v>
      </c>
    </row>
    <row r="42" spans="1:7" x14ac:dyDescent="0.2">
      <c r="A42" s="28" t="s">
        <v>186</v>
      </c>
      <c r="B42" s="31" t="s">
        <v>187</v>
      </c>
      <c r="C42" s="31">
        <v>0.05</v>
      </c>
      <c r="D42" s="31">
        <v>570</v>
      </c>
      <c r="E42" s="37">
        <v>1102.99</v>
      </c>
      <c r="F42" s="35">
        <v>55</v>
      </c>
      <c r="G42" s="35">
        <v>4</v>
      </c>
    </row>
    <row r="43" spans="1:7" x14ac:dyDescent="0.2">
      <c r="A43" s="28" t="s">
        <v>188</v>
      </c>
      <c r="B43" s="31" t="s">
        <v>189</v>
      </c>
      <c r="C43" s="31">
        <v>0.05</v>
      </c>
      <c r="D43" s="31">
        <v>305</v>
      </c>
      <c r="E43" s="37">
        <v>699.99</v>
      </c>
      <c r="F43" s="35">
        <v>30</v>
      </c>
      <c r="G43" s="35">
        <v>5</v>
      </c>
    </row>
    <row r="44" spans="1:7" x14ac:dyDescent="0.2">
      <c r="A44" s="28" t="s">
        <v>190</v>
      </c>
      <c r="B44" s="31" t="s">
        <v>191</v>
      </c>
      <c r="C44" s="31">
        <v>0.05</v>
      </c>
      <c r="D44" s="31">
        <v>570</v>
      </c>
      <c r="E44" s="37">
        <v>1155.99</v>
      </c>
      <c r="F44" s="35">
        <v>55</v>
      </c>
      <c r="G44" s="35">
        <v>4</v>
      </c>
    </row>
    <row r="45" spans="1:7" x14ac:dyDescent="0.2">
      <c r="A45" s="28" t="s">
        <v>192</v>
      </c>
      <c r="B45" s="31" t="s">
        <v>193</v>
      </c>
      <c r="C45" s="31">
        <v>0.05</v>
      </c>
      <c r="D45" s="31">
        <v>305</v>
      </c>
      <c r="E45" s="37">
        <v>653.99</v>
      </c>
      <c r="F45" s="35">
        <v>30</v>
      </c>
      <c r="G45" s="35">
        <v>5</v>
      </c>
    </row>
    <row r="46" spans="1:7" x14ac:dyDescent="0.2">
      <c r="A46" s="28" t="s">
        <v>194</v>
      </c>
      <c r="B46" s="31" t="s">
        <v>195</v>
      </c>
      <c r="C46" s="31">
        <v>0.05</v>
      </c>
      <c r="D46" s="31">
        <v>570</v>
      </c>
      <c r="E46" s="37">
        <v>1087.99</v>
      </c>
      <c r="F46" s="35">
        <v>55</v>
      </c>
      <c r="G46" s="35">
        <v>4</v>
      </c>
    </row>
    <row r="47" spans="1:7" x14ac:dyDescent="0.2">
      <c r="A47" s="28" t="s">
        <v>196</v>
      </c>
      <c r="B47" s="31" t="s">
        <v>197</v>
      </c>
      <c r="C47" s="31">
        <v>0.05</v>
      </c>
      <c r="D47" s="31">
        <v>305</v>
      </c>
      <c r="E47" s="37">
        <v>653.99</v>
      </c>
      <c r="F47" s="35">
        <v>30</v>
      </c>
      <c r="G47" s="35">
        <v>5</v>
      </c>
    </row>
    <row r="48" spans="1:7" x14ac:dyDescent="0.2">
      <c r="A48" s="28" t="s">
        <v>198</v>
      </c>
      <c r="B48" s="31" t="s">
        <v>199</v>
      </c>
      <c r="C48" s="31">
        <v>0.05</v>
      </c>
      <c r="D48" s="31">
        <v>570</v>
      </c>
      <c r="E48" s="37">
        <v>1087.99</v>
      </c>
      <c r="F48" s="35">
        <v>55</v>
      </c>
      <c r="G48" s="35">
        <v>4</v>
      </c>
    </row>
    <row r="49" spans="1:7" x14ac:dyDescent="0.2">
      <c r="A49" s="28" t="s">
        <v>200</v>
      </c>
      <c r="B49" s="31" t="s">
        <v>201</v>
      </c>
      <c r="C49" s="31">
        <v>0.05</v>
      </c>
      <c r="D49" s="31">
        <v>305</v>
      </c>
      <c r="E49" s="37">
        <v>653.99</v>
      </c>
      <c r="F49" s="35">
        <v>30</v>
      </c>
      <c r="G49" s="35">
        <v>5</v>
      </c>
    </row>
    <row r="50" spans="1:7" x14ac:dyDescent="0.2">
      <c r="A50" s="28" t="s">
        <v>202</v>
      </c>
      <c r="B50" s="31" t="s">
        <v>203</v>
      </c>
      <c r="C50" s="31">
        <v>0.05</v>
      </c>
      <c r="D50" s="31">
        <v>570</v>
      </c>
      <c r="E50" s="37">
        <v>1087.99</v>
      </c>
      <c r="F50" s="35">
        <v>55</v>
      </c>
      <c r="G50" s="35">
        <v>4</v>
      </c>
    </row>
    <row r="51" spans="1:7" x14ac:dyDescent="0.2">
      <c r="A51" s="28" t="s">
        <v>204</v>
      </c>
      <c r="B51" s="31" t="s">
        <v>205</v>
      </c>
      <c r="C51" s="31">
        <v>0.05</v>
      </c>
      <c r="D51" s="31">
        <v>305</v>
      </c>
      <c r="E51" s="37">
        <v>653.99</v>
      </c>
      <c r="F51" s="35">
        <v>30</v>
      </c>
      <c r="G51" s="35">
        <v>5</v>
      </c>
    </row>
    <row r="52" spans="1:7" x14ac:dyDescent="0.2">
      <c r="A52" s="28" t="s">
        <v>206</v>
      </c>
      <c r="B52" s="31" t="s">
        <v>207</v>
      </c>
      <c r="C52" s="31">
        <v>0.05</v>
      </c>
      <c r="D52" s="31">
        <v>570</v>
      </c>
      <c r="E52" s="37">
        <v>1087.99</v>
      </c>
      <c r="F52" s="35">
        <v>55</v>
      </c>
      <c r="G52" s="35">
        <v>4</v>
      </c>
    </row>
    <row r="53" spans="1:7" x14ac:dyDescent="0.2">
      <c r="A53" s="28" t="s">
        <v>208</v>
      </c>
      <c r="B53" s="31" t="s">
        <v>209</v>
      </c>
      <c r="C53" s="31">
        <v>7.0000000000000007E-2</v>
      </c>
      <c r="D53" s="31">
        <v>305</v>
      </c>
      <c r="E53" s="37">
        <v>671.99</v>
      </c>
      <c r="F53" s="35">
        <v>30</v>
      </c>
      <c r="G53" s="35">
        <v>5</v>
      </c>
    </row>
    <row r="54" spans="1:7" x14ac:dyDescent="0.2">
      <c r="A54" s="28" t="s">
        <v>210</v>
      </c>
      <c r="B54" s="31" t="s">
        <v>211</v>
      </c>
      <c r="C54" s="31">
        <v>7.0000000000000007E-2</v>
      </c>
      <c r="D54" s="31">
        <v>570</v>
      </c>
      <c r="E54" s="37">
        <v>1102.99</v>
      </c>
      <c r="F54" s="35">
        <v>55</v>
      </c>
      <c r="G54" s="35">
        <v>4</v>
      </c>
    </row>
    <row r="55" spans="1:7" x14ac:dyDescent="0.2">
      <c r="A55" s="28" t="s">
        <v>212</v>
      </c>
      <c r="B55" s="31" t="s">
        <v>213</v>
      </c>
      <c r="C55" s="31">
        <v>7.0000000000000007E-2</v>
      </c>
      <c r="D55" s="31">
        <v>305</v>
      </c>
      <c r="E55" s="37">
        <v>671.99</v>
      </c>
      <c r="F55" s="35">
        <v>30</v>
      </c>
      <c r="G55" s="35">
        <v>5</v>
      </c>
    </row>
    <row r="56" spans="1:7" x14ac:dyDescent="0.2">
      <c r="A56" s="28" t="s">
        <v>214</v>
      </c>
      <c r="B56" s="31" t="s">
        <v>215</v>
      </c>
      <c r="C56" s="31">
        <v>7.0000000000000007E-2</v>
      </c>
      <c r="D56" s="31">
        <v>570</v>
      </c>
      <c r="E56" s="37">
        <v>1102.99</v>
      </c>
      <c r="F56" s="35">
        <v>55</v>
      </c>
      <c r="G56" s="35">
        <v>4</v>
      </c>
    </row>
    <row r="57" spans="1:7" x14ac:dyDescent="0.2">
      <c r="A57" s="28" t="s">
        <v>216</v>
      </c>
      <c r="B57" s="31" t="s">
        <v>217</v>
      </c>
      <c r="C57" s="31">
        <v>7.0000000000000007E-2</v>
      </c>
      <c r="D57" s="31">
        <v>305</v>
      </c>
      <c r="E57" s="37">
        <v>671.99</v>
      </c>
      <c r="F57" s="35">
        <v>30</v>
      </c>
      <c r="G57" s="35">
        <v>5</v>
      </c>
    </row>
    <row r="58" spans="1:7" x14ac:dyDescent="0.2">
      <c r="A58" s="28" t="s">
        <v>218</v>
      </c>
      <c r="B58" s="31" t="s">
        <v>219</v>
      </c>
      <c r="C58" s="31">
        <v>7.0000000000000007E-2</v>
      </c>
      <c r="D58" s="31">
        <v>570</v>
      </c>
      <c r="E58" s="37">
        <v>1102.99</v>
      </c>
      <c r="F58" s="35">
        <v>55</v>
      </c>
      <c r="G58" s="35">
        <v>4</v>
      </c>
    </row>
    <row r="59" spans="1:7" x14ac:dyDescent="0.2">
      <c r="A59" s="28" t="s">
        <v>220</v>
      </c>
      <c r="B59" s="31" t="s">
        <v>221</v>
      </c>
      <c r="C59" s="31">
        <v>7.0000000000000007E-2</v>
      </c>
      <c r="D59" s="31">
        <v>305</v>
      </c>
      <c r="E59" s="37">
        <v>699.99</v>
      </c>
      <c r="F59" s="35">
        <v>30</v>
      </c>
      <c r="G59" s="35">
        <v>5</v>
      </c>
    </row>
    <row r="60" spans="1:7" x14ac:dyDescent="0.2">
      <c r="A60" s="28" t="s">
        <v>222</v>
      </c>
      <c r="B60" s="31" t="s">
        <v>223</v>
      </c>
      <c r="C60" s="31">
        <v>7.0000000000000007E-2</v>
      </c>
      <c r="D60" s="31">
        <v>570</v>
      </c>
      <c r="E60" s="37">
        <v>1155.99</v>
      </c>
      <c r="F60" s="35">
        <v>55</v>
      </c>
      <c r="G60" s="35">
        <v>4</v>
      </c>
    </row>
    <row r="61" spans="1:7" x14ac:dyDescent="0.2">
      <c r="A61" s="28" t="s">
        <v>224</v>
      </c>
      <c r="B61" s="31" t="s">
        <v>225</v>
      </c>
      <c r="C61" s="31">
        <v>7.0000000000000007E-2</v>
      </c>
      <c r="D61" s="31">
        <v>305</v>
      </c>
      <c r="E61" s="37">
        <v>653.99</v>
      </c>
      <c r="F61" s="35">
        <v>30</v>
      </c>
      <c r="G61" s="35">
        <v>5</v>
      </c>
    </row>
    <row r="62" spans="1:7" x14ac:dyDescent="0.2">
      <c r="A62" s="28" t="s">
        <v>226</v>
      </c>
      <c r="B62" s="31" t="s">
        <v>227</v>
      </c>
      <c r="C62" s="31">
        <v>7.0000000000000007E-2</v>
      </c>
      <c r="D62" s="31">
        <v>570</v>
      </c>
      <c r="E62" s="37">
        <v>1087.99</v>
      </c>
      <c r="F62" s="35">
        <v>55</v>
      </c>
      <c r="G62" s="35">
        <v>4</v>
      </c>
    </row>
    <row r="63" spans="1:7" x14ac:dyDescent="0.2">
      <c r="A63" s="28" t="s">
        <v>228</v>
      </c>
      <c r="B63" s="31" t="s">
        <v>229</v>
      </c>
      <c r="C63" s="31">
        <v>7.0000000000000007E-2</v>
      </c>
      <c r="D63" s="31">
        <v>305</v>
      </c>
      <c r="E63" s="37">
        <v>653.99</v>
      </c>
      <c r="F63" s="35">
        <v>30</v>
      </c>
      <c r="G63" s="35">
        <v>5</v>
      </c>
    </row>
    <row r="64" spans="1:7" x14ac:dyDescent="0.2">
      <c r="A64" s="28" t="s">
        <v>230</v>
      </c>
      <c r="B64" s="31" t="s">
        <v>231</v>
      </c>
      <c r="C64" s="31">
        <v>7.0000000000000007E-2</v>
      </c>
      <c r="D64" s="31">
        <v>570</v>
      </c>
      <c r="E64" s="37">
        <v>1087.99</v>
      </c>
      <c r="F64" s="35">
        <v>55</v>
      </c>
      <c r="G64" s="35">
        <v>4</v>
      </c>
    </row>
    <row r="65" spans="1:7" x14ac:dyDescent="0.2">
      <c r="A65" s="28" t="s">
        <v>232</v>
      </c>
      <c r="B65" s="31" t="s">
        <v>233</v>
      </c>
      <c r="C65" s="31">
        <v>7.0000000000000007E-2</v>
      </c>
      <c r="D65" s="31">
        <v>305</v>
      </c>
      <c r="E65" s="37">
        <v>653.99</v>
      </c>
      <c r="F65" s="35">
        <v>30</v>
      </c>
      <c r="G65" s="35">
        <v>5</v>
      </c>
    </row>
    <row r="66" spans="1:7" x14ac:dyDescent="0.2">
      <c r="A66" s="28" t="s">
        <v>234</v>
      </c>
      <c r="B66" s="31" t="s">
        <v>235</v>
      </c>
      <c r="C66" s="31">
        <v>7.0000000000000007E-2</v>
      </c>
      <c r="D66" s="31">
        <v>570</v>
      </c>
      <c r="E66" s="37">
        <v>1087.99</v>
      </c>
      <c r="F66" s="35">
        <v>55</v>
      </c>
      <c r="G66" s="35">
        <v>4</v>
      </c>
    </row>
    <row r="67" spans="1:7" x14ac:dyDescent="0.2">
      <c r="A67" s="28" t="s">
        <v>236</v>
      </c>
      <c r="B67" s="31" t="s">
        <v>237</v>
      </c>
      <c r="C67" s="31">
        <v>7.0000000000000007E-2</v>
      </c>
      <c r="D67" s="31">
        <v>305</v>
      </c>
      <c r="E67" s="37">
        <v>653.99</v>
      </c>
      <c r="F67" s="35">
        <v>30</v>
      </c>
      <c r="G67" s="35">
        <v>5</v>
      </c>
    </row>
    <row r="68" spans="1:7" x14ac:dyDescent="0.2">
      <c r="A68" s="28" t="s">
        <v>238</v>
      </c>
      <c r="B68" s="31" t="s">
        <v>239</v>
      </c>
      <c r="C68" s="31">
        <v>7.0000000000000007E-2</v>
      </c>
      <c r="D68" s="31">
        <v>570</v>
      </c>
      <c r="E68" s="37">
        <v>1087.99</v>
      </c>
      <c r="F68" s="35">
        <v>55</v>
      </c>
      <c r="G68" s="35">
        <v>4</v>
      </c>
    </row>
    <row r="69" spans="1:7" x14ac:dyDescent="0.2">
      <c r="A69" s="28" t="s">
        <v>240</v>
      </c>
      <c r="B69" s="31" t="s">
        <v>241</v>
      </c>
      <c r="C69" s="31"/>
      <c r="D69" s="31">
        <v>17</v>
      </c>
      <c r="E69" s="37">
        <v>95.99</v>
      </c>
      <c r="F69" s="35">
        <v>1</v>
      </c>
      <c r="G69" s="35">
        <v>120</v>
      </c>
    </row>
    <row r="70" spans="1:7" x14ac:dyDescent="0.2">
      <c r="A70" s="28" t="s">
        <v>242</v>
      </c>
      <c r="B70" s="31" t="s">
        <v>243</v>
      </c>
      <c r="C70" s="31"/>
      <c r="D70" s="31">
        <v>3</v>
      </c>
      <c r="E70" s="37">
        <v>20.99</v>
      </c>
      <c r="F70" s="35">
        <v>0.1875</v>
      </c>
      <c r="G70" s="35">
        <v>864</v>
      </c>
    </row>
    <row r="71" spans="1:7" x14ac:dyDescent="0.2">
      <c r="A71" s="28" t="s">
        <v>244</v>
      </c>
      <c r="B71" s="31" t="s">
        <v>245</v>
      </c>
      <c r="C71" s="31"/>
      <c r="D71" s="31">
        <v>17</v>
      </c>
      <c r="E71" s="37">
        <v>95.99</v>
      </c>
      <c r="F71" s="35">
        <v>1</v>
      </c>
      <c r="G71" s="35">
        <v>120</v>
      </c>
    </row>
    <row r="72" spans="1:7" x14ac:dyDescent="0.2">
      <c r="A72" s="28" t="s">
        <v>246</v>
      </c>
      <c r="B72" s="31" t="s">
        <v>247</v>
      </c>
      <c r="C72" s="31"/>
      <c r="D72" s="31">
        <v>3</v>
      </c>
      <c r="E72" s="37">
        <v>20.99</v>
      </c>
      <c r="F72" s="35">
        <v>0.1875</v>
      </c>
      <c r="G72" s="35">
        <v>864</v>
      </c>
    </row>
    <row r="73" spans="1:7" x14ac:dyDescent="0.2">
      <c r="A73" s="28" t="s">
        <v>248</v>
      </c>
      <c r="B73" s="31" t="s">
        <v>249</v>
      </c>
      <c r="C73" s="31"/>
      <c r="D73" s="31">
        <v>17</v>
      </c>
      <c r="E73" s="37">
        <v>95.99</v>
      </c>
      <c r="F73" s="35">
        <v>1</v>
      </c>
      <c r="G73" s="35">
        <v>120</v>
      </c>
    </row>
    <row r="74" spans="1:7" x14ac:dyDescent="0.2">
      <c r="A74" s="28" t="s">
        <v>250</v>
      </c>
      <c r="B74" s="31" t="s">
        <v>251</v>
      </c>
      <c r="C74" s="31"/>
      <c r="D74" s="31">
        <v>3</v>
      </c>
      <c r="E74" s="37">
        <v>20.99</v>
      </c>
      <c r="F74" s="35">
        <v>0.1875</v>
      </c>
      <c r="G74" s="35">
        <v>864</v>
      </c>
    </row>
    <row r="75" spans="1:7" x14ac:dyDescent="0.2">
      <c r="A75" s="28" t="s">
        <v>252</v>
      </c>
      <c r="B75" s="31" t="s">
        <v>253</v>
      </c>
      <c r="C75" s="31"/>
      <c r="D75" s="31">
        <v>17</v>
      </c>
      <c r="E75" s="37">
        <v>95.99</v>
      </c>
      <c r="F75" s="35">
        <v>1</v>
      </c>
      <c r="G75" s="35">
        <v>120</v>
      </c>
    </row>
    <row r="76" spans="1:7" x14ac:dyDescent="0.2">
      <c r="A76" s="28" t="s">
        <v>254</v>
      </c>
      <c r="B76" s="31" t="s">
        <v>255</v>
      </c>
      <c r="C76" s="31"/>
      <c r="D76" s="31">
        <v>3</v>
      </c>
      <c r="E76" s="37">
        <v>20.99</v>
      </c>
      <c r="F76" s="35">
        <v>0.1875</v>
      </c>
      <c r="G76" s="35">
        <v>864</v>
      </c>
    </row>
    <row r="77" spans="1:7" ht="15" x14ac:dyDescent="0.25">
      <c r="A77" s="28" t="s">
        <v>256</v>
      </c>
      <c r="B77" s="31" t="s">
        <v>257</v>
      </c>
      <c r="C77" s="31"/>
      <c r="D77" s="31">
        <v>17</v>
      </c>
      <c r="E77" s="34">
        <v>76.989999999999995</v>
      </c>
      <c r="F77" s="35">
        <v>1</v>
      </c>
      <c r="G77" s="35">
        <v>120</v>
      </c>
    </row>
    <row r="78" spans="1:7" ht="15" x14ac:dyDescent="0.25">
      <c r="A78" s="28" t="s">
        <v>258</v>
      </c>
      <c r="B78" s="31" t="s">
        <v>259</v>
      </c>
      <c r="C78" s="31"/>
      <c r="D78" s="31">
        <v>3</v>
      </c>
      <c r="E78" s="34">
        <v>16.989999999999998</v>
      </c>
      <c r="F78" s="35">
        <v>0.1875</v>
      </c>
      <c r="G78" s="35">
        <v>864</v>
      </c>
    </row>
    <row r="79" spans="1:7" ht="15" x14ac:dyDescent="0.25">
      <c r="A79" s="28" t="s">
        <v>260</v>
      </c>
      <c r="B79" s="31" t="s">
        <v>261</v>
      </c>
      <c r="C79" s="31"/>
      <c r="D79" s="31">
        <v>17</v>
      </c>
      <c r="E79" s="34">
        <v>76.989999999999995</v>
      </c>
      <c r="F79" s="35">
        <v>1</v>
      </c>
      <c r="G79" s="35">
        <v>120</v>
      </c>
    </row>
    <row r="80" spans="1:7" ht="15" x14ac:dyDescent="0.25">
      <c r="A80" s="28" t="s">
        <v>262</v>
      </c>
      <c r="B80" s="31" t="s">
        <v>263</v>
      </c>
      <c r="C80" s="31"/>
      <c r="D80" s="31">
        <v>3</v>
      </c>
      <c r="E80" s="34">
        <v>16.989999999999998</v>
      </c>
      <c r="F80" s="35">
        <v>0.1875</v>
      </c>
      <c r="G80" s="35">
        <v>864</v>
      </c>
    </row>
    <row r="81" spans="1:7" ht="15" x14ac:dyDescent="0.25">
      <c r="A81" s="28" t="s">
        <v>264</v>
      </c>
      <c r="B81" s="31" t="s">
        <v>265</v>
      </c>
      <c r="C81" s="31"/>
      <c r="D81" s="31">
        <v>17</v>
      </c>
      <c r="E81" s="34">
        <v>195.99</v>
      </c>
      <c r="F81" s="35">
        <v>1</v>
      </c>
      <c r="G81" s="35">
        <v>120</v>
      </c>
    </row>
    <row r="82" spans="1:7" ht="15" x14ac:dyDescent="0.25">
      <c r="A82" s="28" t="s">
        <v>266</v>
      </c>
      <c r="B82" s="31" t="s">
        <v>267</v>
      </c>
      <c r="C82" s="31"/>
      <c r="D82" s="31">
        <v>3</v>
      </c>
      <c r="E82" s="34">
        <v>42.99</v>
      </c>
      <c r="F82" s="35">
        <v>0.1875</v>
      </c>
      <c r="G82" s="35">
        <v>864</v>
      </c>
    </row>
    <row r="83" spans="1:7" ht="15" x14ac:dyDescent="0.25">
      <c r="A83" s="28" t="s">
        <v>268</v>
      </c>
      <c r="B83" s="31" t="s">
        <v>269</v>
      </c>
      <c r="C83" s="31"/>
      <c r="D83" s="31">
        <v>17</v>
      </c>
      <c r="E83" s="34">
        <v>76.989999999999995</v>
      </c>
      <c r="F83" s="35">
        <v>1</v>
      </c>
      <c r="G83" s="35">
        <v>120</v>
      </c>
    </row>
    <row r="84" spans="1:7" ht="15" x14ac:dyDescent="0.25">
      <c r="A84" s="28" t="s">
        <v>270</v>
      </c>
      <c r="B84" s="31" t="s">
        <v>271</v>
      </c>
      <c r="C84" s="31"/>
      <c r="D84" s="31">
        <v>3</v>
      </c>
      <c r="E84" s="34">
        <v>16.989999999999998</v>
      </c>
      <c r="F84" s="35">
        <v>0.1875</v>
      </c>
      <c r="G84" s="35">
        <v>864</v>
      </c>
    </row>
    <row r="85" spans="1:7" ht="15" x14ac:dyDescent="0.25">
      <c r="A85" s="28" t="s">
        <v>272</v>
      </c>
      <c r="B85" s="31" t="s">
        <v>273</v>
      </c>
      <c r="C85" s="31"/>
      <c r="D85" s="31">
        <v>17</v>
      </c>
      <c r="E85" s="34">
        <v>76.989999999999995</v>
      </c>
      <c r="F85" s="35">
        <v>1</v>
      </c>
      <c r="G85" s="35">
        <v>120</v>
      </c>
    </row>
    <row r="86" spans="1:7" ht="15" x14ac:dyDescent="0.25">
      <c r="A86" s="28" t="s">
        <v>274</v>
      </c>
      <c r="B86" s="31" t="s">
        <v>275</v>
      </c>
      <c r="C86" s="31"/>
      <c r="D86" s="31">
        <v>3</v>
      </c>
      <c r="E86" s="34">
        <v>16.989999999999998</v>
      </c>
      <c r="F86" s="35">
        <v>0.1875</v>
      </c>
      <c r="G86" s="35">
        <v>864</v>
      </c>
    </row>
    <row r="87" spans="1:7" ht="15" x14ac:dyDescent="0.25">
      <c r="A87" s="28" t="s">
        <v>276</v>
      </c>
      <c r="B87" s="31" t="s">
        <v>277</v>
      </c>
      <c r="C87" s="31"/>
      <c r="D87" s="31">
        <v>17</v>
      </c>
      <c r="E87" s="34">
        <v>86.99</v>
      </c>
      <c r="F87" s="35">
        <v>1</v>
      </c>
      <c r="G87" s="35">
        <v>120</v>
      </c>
    </row>
    <row r="88" spans="1:7" ht="15" x14ac:dyDescent="0.25">
      <c r="A88" s="28" t="s">
        <v>278</v>
      </c>
      <c r="B88" s="31" t="s">
        <v>279</v>
      </c>
      <c r="C88" s="31"/>
      <c r="D88" s="31">
        <v>3</v>
      </c>
      <c r="E88" s="34">
        <v>18.989999999999998</v>
      </c>
      <c r="F88" s="35">
        <v>0.1875</v>
      </c>
      <c r="G88" s="35">
        <v>864</v>
      </c>
    </row>
    <row r="89" spans="1:7" ht="15" x14ac:dyDescent="0.25">
      <c r="A89" s="28" t="s">
        <v>280</v>
      </c>
      <c r="B89" s="31" t="s">
        <v>281</v>
      </c>
      <c r="C89" s="31"/>
      <c r="D89" s="31">
        <v>17</v>
      </c>
      <c r="E89" s="34">
        <v>76.989999999999995</v>
      </c>
      <c r="F89" s="35">
        <v>1</v>
      </c>
      <c r="G89" s="35">
        <v>120</v>
      </c>
    </row>
    <row r="90" spans="1:7" ht="15" x14ac:dyDescent="0.25">
      <c r="A90" s="28" t="s">
        <v>282</v>
      </c>
      <c r="B90" s="31" t="s">
        <v>283</v>
      </c>
      <c r="C90" s="31"/>
      <c r="D90" s="31">
        <v>3</v>
      </c>
      <c r="E90" s="34">
        <v>16.989999999999998</v>
      </c>
      <c r="F90" s="35">
        <v>0.1875</v>
      </c>
      <c r="G90" s="35">
        <v>864</v>
      </c>
    </row>
    <row r="91" spans="1:7" ht="15" x14ac:dyDescent="0.25">
      <c r="A91" s="28" t="s">
        <v>284</v>
      </c>
      <c r="B91" s="31" t="s">
        <v>285</v>
      </c>
      <c r="C91" s="31"/>
      <c r="D91" s="31">
        <v>17</v>
      </c>
      <c r="E91" s="34">
        <v>76.989999999999995</v>
      </c>
      <c r="F91" s="35">
        <v>1</v>
      </c>
      <c r="G91" s="35">
        <v>120</v>
      </c>
    </row>
    <row r="92" spans="1:7" ht="15" x14ac:dyDescent="0.25">
      <c r="A92" s="28" t="s">
        <v>286</v>
      </c>
      <c r="B92" s="31" t="s">
        <v>287</v>
      </c>
      <c r="C92" s="31"/>
      <c r="D92" s="31">
        <v>3</v>
      </c>
      <c r="E92" s="34">
        <v>16.989999999999998</v>
      </c>
      <c r="F92" s="35">
        <v>0.1875</v>
      </c>
      <c r="G92" s="35">
        <v>864</v>
      </c>
    </row>
    <row r="93" spans="1:7" ht="15" x14ac:dyDescent="0.25">
      <c r="A93" s="28" t="s">
        <v>288</v>
      </c>
      <c r="B93" s="31" t="s">
        <v>289</v>
      </c>
      <c r="C93" s="31"/>
      <c r="D93" s="31">
        <v>17</v>
      </c>
      <c r="E93" s="34">
        <v>95.99</v>
      </c>
      <c r="F93" s="35">
        <v>1</v>
      </c>
      <c r="G93" s="35">
        <v>120</v>
      </c>
    </row>
    <row r="94" spans="1:7" ht="15" x14ac:dyDescent="0.2">
      <c r="A94" s="28" t="s">
        <v>290</v>
      </c>
      <c r="B94" s="31" t="s">
        <v>291</v>
      </c>
      <c r="C94" s="31"/>
      <c r="D94" s="31">
        <v>3</v>
      </c>
      <c r="E94" s="36">
        <v>20.99</v>
      </c>
      <c r="F94" s="35">
        <v>0.1875</v>
      </c>
      <c r="G94" s="35">
        <v>864</v>
      </c>
    </row>
    <row r="95" spans="1:7" ht="15" x14ac:dyDescent="0.25">
      <c r="A95" s="28" t="s">
        <v>292</v>
      </c>
      <c r="B95" s="31" t="s">
        <v>293</v>
      </c>
      <c r="C95" s="31"/>
      <c r="D95" s="31">
        <v>17</v>
      </c>
      <c r="E95" s="34">
        <v>125.99</v>
      </c>
      <c r="F95" s="35">
        <v>1</v>
      </c>
      <c r="G95" s="35">
        <v>120</v>
      </c>
    </row>
    <row r="96" spans="1:7" ht="15" x14ac:dyDescent="0.25">
      <c r="A96" s="28" t="s">
        <v>294</v>
      </c>
      <c r="B96" s="31" t="s">
        <v>295</v>
      </c>
      <c r="C96" s="31"/>
      <c r="D96" s="31">
        <v>3</v>
      </c>
      <c r="E96" s="34">
        <v>27.99</v>
      </c>
      <c r="F96" s="35">
        <v>0.1875</v>
      </c>
      <c r="G96" s="35">
        <v>864</v>
      </c>
    </row>
    <row r="97" spans="1:7" ht="15" x14ac:dyDescent="0.25">
      <c r="A97" s="28" t="s">
        <v>296</v>
      </c>
      <c r="B97" s="31" t="s">
        <v>297</v>
      </c>
      <c r="C97" s="31"/>
      <c r="D97" s="31">
        <v>17</v>
      </c>
      <c r="E97" s="34">
        <v>95.99</v>
      </c>
      <c r="F97" s="35">
        <v>1</v>
      </c>
      <c r="G97" s="35">
        <v>120</v>
      </c>
    </row>
    <row r="98" spans="1:7" ht="15" x14ac:dyDescent="0.2">
      <c r="A98" s="28" t="s">
        <v>298</v>
      </c>
      <c r="B98" s="31" t="s">
        <v>299</v>
      </c>
      <c r="C98" s="31"/>
      <c r="D98" s="31">
        <v>3</v>
      </c>
      <c r="E98" s="36">
        <v>20.99</v>
      </c>
      <c r="F98" s="35">
        <v>0.1875</v>
      </c>
      <c r="G98" s="35">
        <v>864</v>
      </c>
    </row>
    <row r="99" spans="1:7" ht="15" x14ac:dyDescent="0.25">
      <c r="A99" s="28" t="s">
        <v>300</v>
      </c>
      <c r="B99" s="31" t="s">
        <v>301</v>
      </c>
      <c r="C99" s="31"/>
      <c r="D99" s="31">
        <v>17</v>
      </c>
      <c r="E99" s="34">
        <v>355.99</v>
      </c>
      <c r="F99" s="35">
        <v>1</v>
      </c>
      <c r="G99" s="35">
        <v>120</v>
      </c>
    </row>
    <row r="100" spans="1:7" ht="15" x14ac:dyDescent="0.25">
      <c r="A100" s="28" t="s">
        <v>302</v>
      </c>
      <c r="B100" s="31" t="s">
        <v>303</v>
      </c>
      <c r="C100" s="31"/>
      <c r="D100" s="31">
        <v>3</v>
      </c>
      <c r="E100" s="34">
        <v>89.99</v>
      </c>
      <c r="F100" s="35">
        <v>0.1875</v>
      </c>
      <c r="G100" s="35">
        <v>864</v>
      </c>
    </row>
    <row r="101" spans="1:7" ht="15" x14ac:dyDescent="0.25">
      <c r="A101" s="28" t="s">
        <v>304</v>
      </c>
      <c r="B101" s="31" t="s">
        <v>305</v>
      </c>
      <c r="C101" s="31"/>
      <c r="D101" s="31">
        <v>17</v>
      </c>
      <c r="E101" s="34">
        <v>27.99</v>
      </c>
      <c r="F101" s="35">
        <v>1</v>
      </c>
      <c r="G101" s="35">
        <v>120</v>
      </c>
    </row>
    <row r="102" spans="1:7" ht="15" x14ac:dyDescent="0.25">
      <c r="A102" s="28" t="s">
        <v>306</v>
      </c>
      <c r="B102" s="31" t="s">
        <v>307</v>
      </c>
      <c r="C102" s="31"/>
      <c r="D102" s="31">
        <v>3</v>
      </c>
      <c r="E102" s="34">
        <v>9.99</v>
      </c>
      <c r="F102" s="35">
        <v>0.1875</v>
      </c>
      <c r="G102" s="35">
        <v>864</v>
      </c>
    </row>
    <row r="103" spans="1:7" ht="15" x14ac:dyDescent="0.25">
      <c r="A103" s="28" t="s">
        <v>308</v>
      </c>
      <c r="B103" s="31" t="s">
        <v>309</v>
      </c>
      <c r="C103" s="31"/>
      <c r="D103" s="31">
        <v>53</v>
      </c>
      <c r="E103" s="34">
        <v>123.99</v>
      </c>
      <c r="F103" s="35">
        <v>5</v>
      </c>
      <c r="G103" s="35">
        <v>36</v>
      </c>
    </row>
    <row r="104" spans="1:7" ht="15" x14ac:dyDescent="0.25">
      <c r="A104" s="28" t="s">
        <v>310</v>
      </c>
      <c r="B104" s="31" t="s">
        <v>311</v>
      </c>
      <c r="C104" s="31"/>
      <c r="D104" s="31">
        <v>590</v>
      </c>
      <c r="E104" s="34">
        <v>1317.99</v>
      </c>
      <c r="F104" s="35">
        <v>55</v>
      </c>
      <c r="G104" s="35">
        <v>4</v>
      </c>
    </row>
    <row r="105" spans="1:7" ht="15" x14ac:dyDescent="0.25">
      <c r="A105" s="28" t="s">
        <v>312</v>
      </c>
      <c r="B105" s="31" t="s">
        <v>96</v>
      </c>
      <c r="C105" s="31"/>
      <c r="D105" s="31">
        <v>13</v>
      </c>
      <c r="E105" s="34">
        <v>53.99</v>
      </c>
      <c r="F105" s="35">
        <v>1</v>
      </c>
      <c r="G105" s="35">
        <v>168</v>
      </c>
    </row>
    <row r="106" spans="1:7" ht="15" x14ac:dyDescent="0.25">
      <c r="A106" s="28" t="s">
        <v>313</v>
      </c>
      <c r="B106" s="31" t="s">
        <v>314</v>
      </c>
      <c r="C106" s="31"/>
      <c r="D106" s="31">
        <v>65</v>
      </c>
      <c r="E106" s="34">
        <v>211.99</v>
      </c>
      <c r="F106" s="35">
        <v>5</v>
      </c>
      <c r="G106" s="35">
        <v>36</v>
      </c>
    </row>
    <row r="107" spans="1:7" ht="15" x14ac:dyDescent="0.25">
      <c r="A107" s="28" t="s">
        <v>315</v>
      </c>
      <c r="B107" s="31" t="s">
        <v>95</v>
      </c>
      <c r="C107" s="31"/>
      <c r="D107" s="31">
        <v>10</v>
      </c>
      <c r="E107" s="34">
        <v>31.99</v>
      </c>
      <c r="F107" s="35">
        <v>1</v>
      </c>
      <c r="G107" s="35">
        <v>168</v>
      </c>
    </row>
    <row r="108" spans="1:7" ht="15" x14ac:dyDescent="0.25">
      <c r="A108" s="28" t="s">
        <v>316</v>
      </c>
      <c r="B108" s="31" t="s">
        <v>317</v>
      </c>
      <c r="C108" s="31"/>
      <c r="D108" s="31">
        <v>47</v>
      </c>
      <c r="E108" s="34">
        <v>114.99</v>
      </c>
      <c r="F108" s="35">
        <v>5</v>
      </c>
      <c r="G108" s="35">
        <v>36</v>
      </c>
    </row>
    <row r="109" spans="1:7" ht="15" x14ac:dyDescent="0.25">
      <c r="A109" s="28" t="s">
        <v>318</v>
      </c>
      <c r="B109" s="31" t="s">
        <v>319</v>
      </c>
      <c r="C109" s="31">
        <v>0.05</v>
      </c>
      <c r="D109" s="31">
        <v>46</v>
      </c>
      <c r="E109" s="34">
        <v>120.99</v>
      </c>
      <c r="F109" s="35">
        <v>5</v>
      </c>
      <c r="G109" s="35">
        <v>36</v>
      </c>
    </row>
    <row r="110" spans="1:7" ht="15" x14ac:dyDescent="0.25">
      <c r="A110" s="28" t="s">
        <v>320</v>
      </c>
      <c r="B110" s="31" t="s">
        <v>321</v>
      </c>
      <c r="C110" s="31">
        <v>0.86</v>
      </c>
      <c r="D110" s="31">
        <v>47</v>
      </c>
      <c r="E110" s="34">
        <v>177.99</v>
      </c>
      <c r="F110" s="35">
        <v>5</v>
      </c>
      <c r="G110" s="35">
        <v>36</v>
      </c>
    </row>
    <row r="111" spans="1:7" ht="15" x14ac:dyDescent="0.25">
      <c r="A111" s="28" t="s">
        <v>322</v>
      </c>
      <c r="B111" s="31" t="s">
        <v>323</v>
      </c>
      <c r="C111" s="31">
        <v>0.86</v>
      </c>
      <c r="D111" s="31">
        <v>280</v>
      </c>
      <c r="E111" s="34">
        <v>1099.99</v>
      </c>
      <c r="F111" s="35">
        <v>30</v>
      </c>
      <c r="G111" s="35">
        <v>5</v>
      </c>
    </row>
    <row r="112" spans="1:7" ht="15" x14ac:dyDescent="0.25">
      <c r="A112" s="28" t="s">
        <v>324</v>
      </c>
      <c r="B112" s="31" t="s">
        <v>325</v>
      </c>
      <c r="C112" s="31">
        <v>0.86</v>
      </c>
      <c r="D112" s="31">
        <v>500</v>
      </c>
      <c r="E112" s="34">
        <v>1912.99</v>
      </c>
      <c r="F112" s="35">
        <v>55</v>
      </c>
      <c r="G112" s="35">
        <v>4</v>
      </c>
    </row>
    <row r="113" spans="1:7" ht="15" x14ac:dyDescent="0.25">
      <c r="A113" s="28" t="s">
        <v>326</v>
      </c>
      <c r="B113" s="31" t="s">
        <v>98</v>
      </c>
      <c r="C113" s="31"/>
      <c r="D113" s="31">
        <v>17</v>
      </c>
      <c r="E113" s="34">
        <v>30.99</v>
      </c>
      <c r="F113" s="35">
        <v>1</v>
      </c>
      <c r="G113" s="35">
        <v>120</v>
      </c>
    </row>
    <row r="114" spans="1:7" ht="15" x14ac:dyDescent="0.25">
      <c r="A114" s="28" t="s">
        <v>327</v>
      </c>
      <c r="B114" s="31" t="s">
        <v>328</v>
      </c>
      <c r="C114" s="31"/>
      <c r="D114" s="31">
        <v>17</v>
      </c>
      <c r="E114" s="34">
        <v>30.99</v>
      </c>
      <c r="F114" s="35">
        <v>1</v>
      </c>
      <c r="G114" s="35">
        <v>120</v>
      </c>
    </row>
    <row r="115" spans="1:7" ht="15" x14ac:dyDescent="0.25">
      <c r="A115" s="28" t="s">
        <v>329</v>
      </c>
      <c r="B115" s="31" t="s">
        <v>330</v>
      </c>
      <c r="C115" s="31"/>
      <c r="D115" s="31">
        <v>17</v>
      </c>
      <c r="E115" s="34">
        <v>30.99</v>
      </c>
      <c r="F115" s="35">
        <v>1</v>
      </c>
      <c r="G115" s="35">
        <v>120</v>
      </c>
    </row>
    <row r="116" spans="1:7" ht="15" x14ac:dyDescent="0.25">
      <c r="A116" s="28" t="s">
        <v>331</v>
      </c>
      <c r="B116" s="31" t="s">
        <v>332</v>
      </c>
      <c r="C116" s="31"/>
      <c r="D116" s="31">
        <v>17</v>
      </c>
      <c r="E116" s="34">
        <v>30.99</v>
      </c>
      <c r="F116" s="35">
        <v>1</v>
      </c>
      <c r="G116" s="35">
        <v>120</v>
      </c>
    </row>
    <row r="117" spans="1:7" ht="15" x14ac:dyDescent="0.25">
      <c r="A117" s="28" t="s">
        <v>333</v>
      </c>
      <c r="B117" s="31" t="s">
        <v>97</v>
      </c>
      <c r="C117" s="31"/>
      <c r="D117" s="31">
        <v>10</v>
      </c>
      <c r="E117" s="34">
        <v>42.99</v>
      </c>
      <c r="F117" s="35">
        <v>1</v>
      </c>
      <c r="G117" s="35">
        <v>168</v>
      </c>
    </row>
    <row r="118" spans="1:7" ht="15" x14ac:dyDescent="0.25">
      <c r="A118" s="28" t="s">
        <v>334</v>
      </c>
      <c r="B118" s="31" t="s">
        <v>335</v>
      </c>
      <c r="C118" s="31"/>
      <c r="D118" s="31">
        <v>10</v>
      </c>
      <c r="E118" s="34">
        <v>42.99</v>
      </c>
      <c r="F118" s="35">
        <v>1</v>
      </c>
      <c r="G118" s="35">
        <v>168</v>
      </c>
    </row>
    <row r="119" spans="1:7" ht="15" x14ac:dyDescent="0.25">
      <c r="A119" s="28" t="s">
        <v>336</v>
      </c>
      <c r="B119" s="31" t="s">
        <v>337</v>
      </c>
      <c r="C119" s="31"/>
      <c r="D119" s="31">
        <v>10</v>
      </c>
      <c r="E119" s="34">
        <v>42.99</v>
      </c>
      <c r="F119" s="35">
        <v>1</v>
      </c>
      <c r="G119" s="35">
        <v>168</v>
      </c>
    </row>
    <row r="120" spans="1:7" ht="15" x14ac:dyDescent="0.25">
      <c r="A120" s="28" t="s">
        <v>338</v>
      </c>
      <c r="B120" s="31" t="s">
        <v>339</v>
      </c>
      <c r="C120" s="31"/>
      <c r="D120" s="31">
        <v>10</v>
      </c>
      <c r="E120" s="34">
        <v>71.989999999999995</v>
      </c>
      <c r="F120" s="35">
        <v>1</v>
      </c>
      <c r="G120" s="35">
        <v>120</v>
      </c>
    </row>
    <row r="121" spans="1:7" ht="15" x14ac:dyDescent="0.25">
      <c r="A121" s="28" t="s">
        <v>340</v>
      </c>
      <c r="B121" s="31" t="s">
        <v>341</v>
      </c>
      <c r="C121" s="31"/>
      <c r="D121" s="31">
        <v>10</v>
      </c>
      <c r="E121" s="34">
        <v>71.989999999999995</v>
      </c>
      <c r="F121" s="35">
        <v>1</v>
      </c>
      <c r="G121" s="35">
        <v>120</v>
      </c>
    </row>
    <row r="122" spans="1:7" ht="15" x14ac:dyDescent="0.25">
      <c r="A122" s="28" t="s">
        <v>342</v>
      </c>
      <c r="B122" s="31" t="s">
        <v>343</v>
      </c>
      <c r="C122" s="31"/>
      <c r="D122" s="31">
        <v>10</v>
      </c>
      <c r="E122" s="34">
        <v>71.989999999999995</v>
      </c>
      <c r="F122" s="35">
        <v>1</v>
      </c>
      <c r="G122" s="35">
        <v>120</v>
      </c>
    </row>
    <row r="123" spans="1:7" ht="15" x14ac:dyDescent="0.25">
      <c r="A123" s="28" t="s">
        <v>344</v>
      </c>
      <c r="B123" s="31" t="s">
        <v>345</v>
      </c>
      <c r="C123" s="31"/>
      <c r="D123" s="31">
        <v>10</v>
      </c>
      <c r="E123" s="34">
        <v>69.989999999999995</v>
      </c>
      <c r="F123" s="35">
        <v>1</v>
      </c>
      <c r="G123" s="35">
        <v>120</v>
      </c>
    </row>
    <row r="124" spans="1:7" ht="15" x14ac:dyDescent="0.25">
      <c r="A124" s="28" t="s">
        <v>346</v>
      </c>
      <c r="B124" s="31" t="s">
        <v>347</v>
      </c>
      <c r="C124" s="31">
        <v>0.06</v>
      </c>
      <c r="D124" s="31">
        <v>305</v>
      </c>
      <c r="E124" s="34">
        <v>730.99</v>
      </c>
      <c r="F124" s="35">
        <v>30</v>
      </c>
      <c r="G124" s="35">
        <v>5</v>
      </c>
    </row>
    <row r="125" spans="1:7" ht="15" x14ac:dyDescent="0.25">
      <c r="A125" s="28" t="s">
        <v>348</v>
      </c>
      <c r="B125" s="31" t="s">
        <v>349</v>
      </c>
      <c r="C125" s="31">
        <v>0.06</v>
      </c>
      <c r="D125" s="31">
        <v>520</v>
      </c>
      <c r="E125" s="34">
        <v>1208.99</v>
      </c>
      <c r="F125" s="35">
        <v>55</v>
      </c>
      <c r="G125" s="35">
        <v>4</v>
      </c>
    </row>
    <row r="126" spans="1:7" ht="15" x14ac:dyDescent="0.25">
      <c r="A126" s="28" t="s">
        <v>350</v>
      </c>
      <c r="B126" s="31" t="s">
        <v>351</v>
      </c>
      <c r="C126" s="31">
        <v>0.15</v>
      </c>
      <c r="D126" s="31">
        <v>290</v>
      </c>
      <c r="E126" s="34">
        <v>525.99</v>
      </c>
      <c r="F126" s="35">
        <v>30</v>
      </c>
      <c r="G126" s="35">
        <v>5</v>
      </c>
    </row>
    <row r="127" spans="1:7" ht="15" x14ac:dyDescent="0.25">
      <c r="A127" s="28" t="s">
        <v>352</v>
      </c>
      <c r="B127" s="31" t="s">
        <v>353</v>
      </c>
      <c r="C127" s="31">
        <v>0.15</v>
      </c>
      <c r="D127" s="31">
        <v>550</v>
      </c>
      <c r="E127" s="34">
        <v>849.99</v>
      </c>
      <c r="F127" s="35">
        <v>55</v>
      </c>
      <c r="G127" s="35">
        <v>4</v>
      </c>
    </row>
    <row r="128" spans="1:7" ht="15" x14ac:dyDescent="0.25">
      <c r="A128" s="28" t="s">
        <v>354</v>
      </c>
      <c r="B128" s="31" t="s">
        <v>355</v>
      </c>
      <c r="C128" s="31">
        <v>0.15</v>
      </c>
      <c r="D128" s="31">
        <v>290</v>
      </c>
      <c r="E128" s="34">
        <v>650.99</v>
      </c>
      <c r="F128" s="35">
        <v>30</v>
      </c>
      <c r="G128" s="35">
        <v>5</v>
      </c>
    </row>
    <row r="129" spans="1:7" ht="15" x14ac:dyDescent="0.25">
      <c r="A129" s="28" t="s">
        <v>356</v>
      </c>
      <c r="B129" s="31" t="s">
        <v>357</v>
      </c>
      <c r="C129" s="31">
        <v>0.15</v>
      </c>
      <c r="D129" s="31">
        <v>550</v>
      </c>
      <c r="E129" s="34">
        <v>1038.99</v>
      </c>
      <c r="F129" s="35">
        <v>55</v>
      </c>
      <c r="G129" s="35">
        <v>4</v>
      </c>
    </row>
    <row r="130" spans="1:7" ht="15" x14ac:dyDescent="0.25">
      <c r="A130" s="28" t="s">
        <v>358</v>
      </c>
      <c r="B130" s="31" t="s">
        <v>359</v>
      </c>
      <c r="C130" s="31"/>
      <c r="D130" s="31">
        <v>51</v>
      </c>
      <c r="E130" s="34">
        <v>97.99</v>
      </c>
      <c r="F130" s="35">
        <v>5</v>
      </c>
      <c r="G130" s="35">
        <v>36</v>
      </c>
    </row>
    <row r="131" spans="1:7" ht="15" x14ac:dyDescent="0.25">
      <c r="A131" s="28" t="s">
        <v>360</v>
      </c>
      <c r="B131" s="31" t="s">
        <v>361</v>
      </c>
      <c r="C131" s="31"/>
      <c r="D131" s="31">
        <v>10</v>
      </c>
      <c r="E131" s="34">
        <v>44.99</v>
      </c>
      <c r="F131" s="35">
        <v>1</v>
      </c>
      <c r="G131" s="35">
        <v>168</v>
      </c>
    </row>
    <row r="132" spans="1:7" ht="15" x14ac:dyDescent="0.25">
      <c r="A132" s="28" t="s">
        <v>362</v>
      </c>
      <c r="B132" s="31" t="s">
        <v>52</v>
      </c>
      <c r="C132" s="31"/>
      <c r="D132" s="31">
        <v>50</v>
      </c>
      <c r="E132" s="34">
        <v>8.5</v>
      </c>
      <c r="F132" s="33"/>
      <c r="G132" s="33">
        <v>56</v>
      </c>
    </row>
    <row r="133" spans="1:7" ht="15" x14ac:dyDescent="0.25">
      <c r="A133" s="28" t="s">
        <v>363</v>
      </c>
      <c r="B133" s="31" t="s">
        <v>55</v>
      </c>
      <c r="C133" s="31"/>
      <c r="D133" s="31">
        <v>50</v>
      </c>
      <c r="E133" s="34">
        <v>14</v>
      </c>
      <c r="F133" s="33"/>
      <c r="G133" s="33">
        <v>48</v>
      </c>
    </row>
    <row r="134" spans="1:7" x14ac:dyDescent="0.2">
      <c r="A134" s="28" t="s">
        <v>364</v>
      </c>
      <c r="B134" s="31" t="s">
        <v>365</v>
      </c>
      <c r="D134" s="31">
        <v>4</v>
      </c>
      <c r="E134" s="30">
        <v>108.99</v>
      </c>
      <c r="F134" s="29"/>
      <c r="G134" s="29"/>
    </row>
    <row r="135" spans="1:7" x14ac:dyDescent="0.2">
      <c r="A135" s="28" t="s">
        <v>366</v>
      </c>
      <c r="B135" s="31" t="s">
        <v>367</v>
      </c>
      <c r="D135" s="31">
        <v>6</v>
      </c>
      <c r="E135" s="30">
        <v>130.99</v>
      </c>
      <c r="F135" s="29"/>
      <c r="G135" s="29"/>
    </row>
    <row r="136" spans="1:7" x14ac:dyDescent="0.2">
      <c r="A136" s="28" t="s">
        <v>368</v>
      </c>
      <c r="B136" s="31" t="s">
        <v>369</v>
      </c>
      <c r="D136" s="31">
        <v>8</v>
      </c>
      <c r="E136" s="30">
        <v>154.99</v>
      </c>
      <c r="F136" s="29"/>
      <c r="G136" s="29"/>
    </row>
    <row r="137" spans="1:7" x14ac:dyDescent="0.2">
      <c r="A137" s="28" t="s">
        <v>370</v>
      </c>
      <c r="B137" s="31" t="s">
        <v>371</v>
      </c>
      <c r="D137" s="31">
        <v>9</v>
      </c>
      <c r="E137" s="30">
        <v>157.99</v>
      </c>
      <c r="F137" s="29"/>
      <c r="G137" s="29"/>
    </row>
    <row r="138" spans="1:7" x14ac:dyDescent="0.2">
      <c r="A138" s="28" t="s">
        <v>372</v>
      </c>
      <c r="B138" s="31" t="s">
        <v>373</v>
      </c>
      <c r="D138" s="31">
        <v>3</v>
      </c>
      <c r="E138" s="30">
        <v>25.99</v>
      </c>
      <c r="F138" s="29"/>
      <c r="G138" s="29"/>
    </row>
    <row r="139" spans="1:7" x14ac:dyDescent="0.2">
      <c r="A139" s="28" t="s">
        <v>374</v>
      </c>
      <c r="B139" s="31" t="s">
        <v>375</v>
      </c>
      <c r="D139" s="31">
        <v>3</v>
      </c>
      <c r="E139" s="30">
        <v>37.99</v>
      </c>
      <c r="F139" s="29"/>
      <c r="G139" s="29"/>
    </row>
    <row r="140" spans="1:7" x14ac:dyDescent="0.2">
      <c r="A140" s="28" t="s">
        <v>376</v>
      </c>
      <c r="B140" s="31" t="s">
        <v>377</v>
      </c>
      <c r="D140" s="31">
        <v>3</v>
      </c>
      <c r="E140" s="30">
        <v>49.99</v>
      </c>
      <c r="F140" s="29"/>
      <c r="G140" s="29"/>
    </row>
    <row r="141" spans="1:7" x14ac:dyDescent="0.2">
      <c r="A141" s="28" t="s">
        <v>378</v>
      </c>
      <c r="B141" s="31" t="s">
        <v>379</v>
      </c>
      <c r="D141" s="31">
        <v>4</v>
      </c>
      <c r="E141" s="30">
        <v>57.99</v>
      </c>
      <c r="F141" s="29"/>
      <c r="G141" s="29"/>
    </row>
    <row r="142" spans="1:7" x14ac:dyDescent="0.2">
      <c r="A142" s="28" t="s">
        <v>380</v>
      </c>
      <c r="B142" s="31" t="s">
        <v>381</v>
      </c>
      <c r="D142" s="31">
        <v>4</v>
      </c>
      <c r="E142" s="30">
        <v>118.99</v>
      </c>
      <c r="F142" s="29"/>
      <c r="G142" s="29"/>
    </row>
    <row r="143" spans="1:7" x14ac:dyDescent="0.2">
      <c r="A143" s="28" t="s">
        <v>382</v>
      </c>
      <c r="B143" s="31" t="s">
        <v>383</v>
      </c>
      <c r="D143" s="31">
        <v>6</v>
      </c>
      <c r="E143" s="30">
        <v>142.99</v>
      </c>
      <c r="F143" s="29"/>
      <c r="G143" s="29"/>
    </row>
    <row r="144" spans="1:7" x14ac:dyDescent="0.2">
      <c r="A144" s="28" t="s">
        <v>384</v>
      </c>
      <c r="B144" s="31" t="s">
        <v>385</v>
      </c>
      <c r="D144" s="31">
        <v>8</v>
      </c>
      <c r="E144" s="30">
        <v>168.99</v>
      </c>
      <c r="F144" s="29"/>
      <c r="G144" s="29"/>
    </row>
    <row r="145" spans="1:7" x14ac:dyDescent="0.2">
      <c r="A145" s="28" t="s">
        <v>386</v>
      </c>
      <c r="B145" s="31" t="s">
        <v>387</v>
      </c>
      <c r="D145" s="31">
        <v>9</v>
      </c>
      <c r="E145" s="30">
        <v>192.99</v>
      </c>
      <c r="F145" s="29"/>
      <c r="G145" s="29"/>
    </row>
    <row r="146" spans="1:7" x14ac:dyDescent="0.2">
      <c r="A146" s="28" t="s">
        <v>388</v>
      </c>
      <c r="B146" s="31" t="s">
        <v>389</v>
      </c>
      <c r="D146" s="31">
        <v>3</v>
      </c>
      <c r="E146" s="30">
        <v>36.99</v>
      </c>
      <c r="F146" s="29"/>
      <c r="G146" s="29"/>
    </row>
    <row r="147" spans="1:7" x14ac:dyDescent="0.2">
      <c r="A147" s="28" t="s">
        <v>390</v>
      </c>
      <c r="B147" s="31" t="s">
        <v>391</v>
      </c>
      <c r="D147" s="31">
        <v>3</v>
      </c>
      <c r="E147" s="30">
        <v>54.99</v>
      </c>
      <c r="F147" s="29"/>
      <c r="G147" s="29"/>
    </row>
    <row r="148" spans="1:7" x14ac:dyDescent="0.2">
      <c r="A148" s="28" t="s">
        <v>392</v>
      </c>
      <c r="B148" s="31" t="s">
        <v>393</v>
      </c>
      <c r="D148" s="31">
        <v>3</v>
      </c>
      <c r="E148" s="30">
        <v>74.989999999999995</v>
      </c>
      <c r="F148" s="29"/>
      <c r="G148" s="29"/>
    </row>
    <row r="149" spans="1:7" x14ac:dyDescent="0.2">
      <c r="A149" s="28" t="s">
        <v>394</v>
      </c>
      <c r="B149" s="31" t="s">
        <v>395</v>
      </c>
      <c r="D149" s="31">
        <v>4</v>
      </c>
      <c r="E149" s="30">
        <v>98.99</v>
      </c>
      <c r="F149" s="29"/>
      <c r="G149" s="29"/>
    </row>
    <row r="150" spans="1:7" x14ac:dyDescent="0.2">
      <c r="A150" s="28" t="s">
        <v>396</v>
      </c>
      <c r="B150" s="32"/>
      <c r="D150" s="31"/>
      <c r="E150" s="30">
        <v>50</v>
      </c>
      <c r="F150" s="29"/>
      <c r="G150" s="29"/>
    </row>
  </sheetData>
  <sheetProtection algorithmName="SHA-512" hashValue="G5wfKClDkXzAZRnCZw/TbL/OuylYpbvPoenPbsd7fbD3V/D2AzUJuda9/M9rSMGBMXjLPvIZt90wmKJA2Hb3dg==" saltValue="YmJmOYVNWlckyrGHChGz9g==" spinCount="100000" sheet="1" objects="1" scenarios="1"/>
  <pageMargins left="0.75" right="0.75" top="1" bottom="1" header="0.5" footer="0.5"/>
  <headerFooter alignWithMargins="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BAEBD-C75E-462F-9770-3CB7D3BD642B}">
  <sheetPr codeName="Sheet6"/>
  <dimension ref="A1:G31"/>
  <sheetViews>
    <sheetView workbookViewId="0">
      <selection activeCell="A31" sqref="A31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16.5703125" customWidth="1"/>
    <col min="4" max="4" width="9.5703125" customWidth="1"/>
    <col min="5" max="5" width="9" bestFit="1" customWidth="1"/>
    <col min="6" max="6" width="10" customWidth="1"/>
    <col min="7" max="7" width="11.7109375" customWidth="1"/>
    <col min="9" max="9" width="36.42578125" customWidth="1"/>
  </cols>
  <sheetData>
    <row r="1" spans="1:7" ht="15.75" thickBot="1" x14ac:dyDescent="0.3">
      <c r="A1" s="1" t="s">
        <v>1</v>
      </c>
      <c r="B1" s="2" t="s">
        <v>30</v>
      </c>
      <c r="C1" s="3" t="s">
        <v>108</v>
      </c>
      <c r="D1" s="3" t="s">
        <v>83</v>
      </c>
      <c r="E1" s="3" t="s">
        <v>84</v>
      </c>
      <c r="F1" s="3" t="s">
        <v>85</v>
      </c>
      <c r="G1" s="4" t="s">
        <v>86</v>
      </c>
    </row>
    <row r="2" spans="1:7" ht="15.75" thickTop="1" x14ac:dyDescent="0.25">
      <c r="A2" s="5" t="s">
        <v>397</v>
      </c>
      <c r="B2" s="6" t="s">
        <v>241</v>
      </c>
      <c r="C2" s="6"/>
      <c r="D2" s="6">
        <v>17</v>
      </c>
      <c r="E2" s="15">
        <v>95.99</v>
      </c>
      <c r="F2" s="8">
        <v>1</v>
      </c>
      <c r="G2" s="9">
        <v>120</v>
      </c>
    </row>
    <row r="3" spans="1:7" x14ac:dyDescent="0.25">
      <c r="A3" s="10" t="s">
        <v>398</v>
      </c>
      <c r="B3" s="11" t="s">
        <v>245</v>
      </c>
      <c r="C3" s="11"/>
      <c r="D3" s="11">
        <v>17</v>
      </c>
      <c r="E3" s="12">
        <v>95.99</v>
      </c>
      <c r="F3" s="13">
        <v>1</v>
      </c>
      <c r="G3" s="14">
        <v>120</v>
      </c>
    </row>
    <row r="4" spans="1:7" x14ac:dyDescent="0.25">
      <c r="A4" s="5" t="s">
        <v>399</v>
      </c>
      <c r="B4" s="6" t="s">
        <v>249</v>
      </c>
      <c r="C4" s="6"/>
      <c r="D4" s="6">
        <v>17</v>
      </c>
      <c r="E4" s="15">
        <v>95.99</v>
      </c>
      <c r="F4" s="8">
        <v>1</v>
      </c>
      <c r="G4" s="9">
        <v>120</v>
      </c>
    </row>
    <row r="5" spans="1:7" x14ac:dyDescent="0.25">
      <c r="A5" s="10" t="s">
        <v>400</v>
      </c>
      <c r="B5" s="11" t="s">
        <v>253</v>
      </c>
      <c r="C5" s="11"/>
      <c r="D5" s="11">
        <v>17</v>
      </c>
      <c r="E5" s="12">
        <v>95.99</v>
      </c>
      <c r="F5" s="13">
        <v>1</v>
      </c>
      <c r="G5" s="14">
        <v>120</v>
      </c>
    </row>
    <row r="6" spans="1:7" x14ac:dyDescent="0.25">
      <c r="A6" s="5" t="s">
        <v>2</v>
      </c>
      <c r="B6" s="6" t="s">
        <v>257</v>
      </c>
      <c r="C6" s="6"/>
      <c r="D6" s="6">
        <v>17</v>
      </c>
      <c r="E6" s="22">
        <v>76.989999999999995</v>
      </c>
      <c r="F6" s="8">
        <v>1</v>
      </c>
      <c r="G6" s="9">
        <v>120</v>
      </c>
    </row>
    <row r="7" spans="1:7" x14ac:dyDescent="0.25">
      <c r="A7" s="10" t="s">
        <v>401</v>
      </c>
      <c r="B7" s="11" t="s">
        <v>261</v>
      </c>
      <c r="C7" s="11"/>
      <c r="D7" s="11">
        <v>17</v>
      </c>
      <c r="E7" s="16">
        <v>76.989999999999995</v>
      </c>
      <c r="F7" s="13">
        <v>1</v>
      </c>
      <c r="G7" s="14">
        <v>120</v>
      </c>
    </row>
    <row r="8" spans="1:7" x14ac:dyDescent="0.25">
      <c r="A8" s="5" t="s">
        <v>402</v>
      </c>
      <c r="B8" s="6" t="s">
        <v>265</v>
      </c>
      <c r="C8" s="6"/>
      <c r="D8" s="6">
        <v>17</v>
      </c>
      <c r="E8" s="22">
        <v>195.99</v>
      </c>
      <c r="F8" s="8">
        <v>1</v>
      </c>
      <c r="G8" s="9">
        <v>120</v>
      </c>
    </row>
    <row r="9" spans="1:7" x14ac:dyDescent="0.25">
      <c r="A9" s="10" t="s">
        <v>403</v>
      </c>
      <c r="B9" s="11" t="s">
        <v>269</v>
      </c>
      <c r="C9" s="11"/>
      <c r="D9" s="11">
        <v>17</v>
      </c>
      <c r="E9" s="16">
        <v>76.989999999999995</v>
      </c>
      <c r="F9" s="13">
        <v>1</v>
      </c>
      <c r="G9" s="14">
        <v>120</v>
      </c>
    </row>
    <row r="10" spans="1:7" x14ac:dyDescent="0.25">
      <c r="A10" s="5" t="s">
        <v>404</v>
      </c>
      <c r="B10" s="6" t="s">
        <v>273</v>
      </c>
      <c r="C10" s="6"/>
      <c r="D10" s="6">
        <v>17</v>
      </c>
      <c r="E10" s="22">
        <v>76.989999999999995</v>
      </c>
      <c r="F10" s="8">
        <v>1</v>
      </c>
      <c r="G10" s="9">
        <v>120</v>
      </c>
    </row>
    <row r="11" spans="1:7" x14ac:dyDescent="0.25">
      <c r="A11" s="10" t="s">
        <v>405</v>
      </c>
      <c r="B11" s="11" t="s">
        <v>277</v>
      </c>
      <c r="C11" s="11"/>
      <c r="D11" s="11">
        <v>17</v>
      </c>
      <c r="E11" s="16">
        <v>86.99</v>
      </c>
      <c r="F11" s="13">
        <v>1</v>
      </c>
      <c r="G11" s="14">
        <v>120</v>
      </c>
    </row>
    <row r="12" spans="1:7" x14ac:dyDescent="0.25">
      <c r="A12" s="5" t="s">
        <v>406</v>
      </c>
      <c r="B12" s="6" t="s">
        <v>281</v>
      </c>
      <c r="C12" s="6"/>
      <c r="D12" s="6">
        <v>17</v>
      </c>
      <c r="E12" s="22">
        <v>76.989999999999995</v>
      </c>
      <c r="F12" s="8">
        <v>1</v>
      </c>
      <c r="G12" s="9">
        <v>120</v>
      </c>
    </row>
    <row r="13" spans="1:7" x14ac:dyDescent="0.25">
      <c r="A13" s="10" t="s">
        <v>407</v>
      </c>
      <c r="B13" s="11" t="s">
        <v>285</v>
      </c>
      <c r="C13" s="11"/>
      <c r="D13" s="11">
        <v>17</v>
      </c>
      <c r="E13" s="16">
        <v>76.989999999999995</v>
      </c>
      <c r="F13" s="13">
        <v>1</v>
      </c>
      <c r="G13" s="14">
        <v>120</v>
      </c>
    </row>
    <row r="14" spans="1:7" x14ac:dyDescent="0.25">
      <c r="A14" s="5" t="s">
        <v>408</v>
      </c>
      <c r="B14" s="6" t="s">
        <v>289</v>
      </c>
      <c r="C14" s="6"/>
      <c r="D14" s="6">
        <v>17</v>
      </c>
      <c r="E14" s="22">
        <v>95.99</v>
      </c>
      <c r="F14" s="8">
        <v>1</v>
      </c>
      <c r="G14" s="9">
        <v>120</v>
      </c>
    </row>
    <row r="15" spans="1:7" x14ac:dyDescent="0.25">
      <c r="A15" s="10" t="s">
        <v>409</v>
      </c>
      <c r="B15" s="11" t="s">
        <v>293</v>
      </c>
      <c r="C15" s="11"/>
      <c r="D15" s="11">
        <v>17</v>
      </c>
      <c r="E15" s="16">
        <v>125.99</v>
      </c>
      <c r="F15" s="13">
        <v>1</v>
      </c>
      <c r="G15" s="14">
        <v>120</v>
      </c>
    </row>
    <row r="16" spans="1:7" x14ac:dyDescent="0.25">
      <c r="A16" s="5" t="s">
        <v>410</v>
      </c>
      <c r="B16" s="6" t="s">
        <v>297</v>
      </c>
      <c r="C16" s="6"/>
      <c r="D16" s="6">
        <v>17</v>
      </c>
      <c r="E16" s="22">
        <v>95.99</v>
      </c>
      <c r="F16" s="8">
        <v>1</v>
      </c>
      <c r="G16" s="9">
        <v>120</v>
      </c>
    </row>
    <row r="17" spans="1:7" x14ac:dyDescent="0.25">
      <c r="A17" s="10" t="s">
        <v>411</v>
      </c>
      <c r="B17" s="11" t="s">
        <v>301</v>
      </c>
      <c r="C17" s="11"/>
      <c r="D17" s="11">
        <v>17</v>
      </c>
      <c r="E17" s="16">
        <v>355.99</v>
      </c>
      <c r="F17" s="13">
        <v>1</v>
      </c>
      <c r="G17" s="14">
        <v>120</v>
      </c>
    </row>
    <row r="18" spans="1:7" x14ac:dyDescent="0.25">
      <c r="A18" s="5" t="s">
        <v>412</v>
      </c>
      <c r="B18" s="6" t="s">
        <v>305</v>
      </c>
      <c r="C18" s="6"/>
      <c r="D18" s="6">
        <v>17</v>
      </c>
      <c r="E18" s="22">
        <v>27.99</v>
      </c>
      <c r="F18" s="8">
        <v>1</v>
      </c>
      <c r="G18" s="9">
        <v>120</v>
      </c>
    </row>
    <row r="19" spans="1:7" x14ac:dyDescent="0.25">
      <c r="A19" s="10" t="s">
        <v>1</v>
      </c>
      <c r="B19" s="11"/>
      <c r="C19" s="11"/>
      <c r="D19" s="11"/>
      <c r="E19" s="81"/>
      <c r="F19" s="13"/>
      <c r="G19" s="14"/>
    </row>
    <row r="20" spans="1:7" x14ac:dyDescent="0.25">
      <c r="A20" s="5"/>
      <c r="B20" s="6"/>
      <c r="C20" s="6"/>
      <c r="D20" s="6"/>
      <c r="E20" s="22"/>
      <c r="F20" s="8"/>
      <c r="G20" s="9"/>
    </row>
    <row r="21" spans="1:7" x14ac:dyDescent="0.25">
      <c r="A21" s="10"/>
      <c r="B21" s="11"/>
      <c r="C21" s="11"/>
      <c r="D21" s="11"/>
      <c r="E21" s="16"/>
      <c r="F21" s="13"/>
      <c r="G21" s="14"/>
    </row>
    <row r="22" spans="1:7" x14ac:dyDescent="0.25">
      <c r="A22" s="5"/>
      <c r="B22" s="6"/>
      <c r="C22" s="6"/>
      <c r="D22" s="6"/>
      <c r="E22" s="22"/>
      <c r="F22" s="8"/>
      <c r="G22" s="9"/>
    </row>
    <row r="23" spans="1:7" x14ac:dyDescent="0.25">
      <c r="A23" s="10"/>
      <c r="B23" s="11"/>
      <c r="C23" s="11"/>
      <c r="D23" s="11"/>
      <c r="E23" s="16"/>
      <c r="F23" s="13"/>
      <c r="G23" s="14"/>
    </row>
    <row r="24" spans="1:7" x14ac:dyDescent="0.25">
      <c r="A24" s="5"/>
      <c r="B24" s="6"/>
      <c r="C24" s="6"/>
      <c r="D24" s="6"/>
      <c r="E24" s="22"/>
      <c r="F24" s="8"/>
      <c r="G24" s="9"/>
    </row>
    <row r="25" spans="1:7" x14ac:dyDescent="0.25">
      <c r="A25" s="10"/>
      <c r="B25" s="11"/>
      <c r="C25" s="11"/>
      <c r="D25" s="11"/>
      <c r="E25" s="16"/>
      <c r="F25" s="13"/>
      <c r="G25" s="14"/>
    </row>
    <row r="26" spans="1:7" x14ac:dyDescent="0.25">
      <c r="A26" s="5"/>
      <c r="B26" s="6"/>
      <c r="C26" s="6"/>
      <c r="D26" s="6"/>
      <c r="E26" s="22"/>
      <c r="F26" s="8"/>
      <c r="G26" s="9"/>
    </row>
    <row r="27" spans="1:7" x14ac:dyDescent="0.25">
      <c r="A27" s="10"/>
      <c r="B27" s="11"/>
      <c r="C27" s="11"/>
      <c r="D27" s="11"/>
      <c r="E27" s="16"/>
      <c r="F27" s="13"/>
      <c r="G27" s="14"/>
    </row>
    <row r="28" spans="1:7" x14ac:dyDescent="0.25">
      <c r="A28" s="5"/>
      <c r="B28" s="6"/>
      <c r="C28" s="6"/>
      <c r="D28" s="6"/>
      <c r="E28" s="22"/>
      <c r="F28" s="8"/>
      <c r="G28" s="9"/>
    </row>
    <row r="29" spans="1:7" x14ac:dyDescent="0.25">
      <c r="A29" s="10"/>
      <c r="B29" s="11"/>
      <c r="C29" s="11"/>
      <c r="D29" s="11"/>
      <c r="E29" s="16"/>
      <c r="F29" s="13"/>
      <c r="G29" s="14"/>
    </row>
    <row r="30" spans="1:7" x14ac:dyDescent="0.25">
      <c r="A30" s="5"/>
      <c r="B30" s="6"/>
      <c r="C30" s="6"/>
      <c r="D30" s="6"/>
      <c r="E30" s="22"/>
      <c r="F30" s="8"/>
      <c r="G30" s="9"/>
    </row>
    <row r="31" spans="1:7" x14ac:dyDescent="0.25">
      <c r="A31" s="17"/>
      <c r="B31" s="18"/>
      <c r="C31" s="18"/>
      <c r="D31" s="18"/>
      <c r="E31" s="19"/>
      <c r="F31" s="20"/>
      <c r="G31" s="21"/>
    </row>
  </sheetData>
  <sheetProtection algorithmName="SHA-512" hashValue="PTt2w9hhPUGhE4B4kBZ7ZV2F6vEjHS01gDU4pzjw1uYNFSoiTkjrDBinX4oGFbNP011gU8NG8zhkVp4JbsCtiw==" saltValue="Kf0utLv4POvNOg5bXSx9VA==" spinCount="100000" sheet="1" objects="1" scenarios="1"/>
  <dataValidations count="1">
    <dataValidation type="list" allowBlank="1" showInputMessage="1" showErrorMessage="1" sqref="I9" xr:uid="{DC03ED3D-D56C-41C4-BF3B-DB7C56FC20BC}">
      <formula1>$A$1:$A$18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FB67-D2CF-4AB9-B39E-CF365EEFB792}">
  <sheetPr codeName="Sheet7"/>
  <dimension ref="A1:G18"/>
  <sheetViews>
    <sheetView workbookViewId="0">
      <selection activeCell="A31" sqref="A31"/>
    </sheetView>
  </sheetViews>
  <sheetFormatPr defaultRowHeight="15" x14ac:dyDescent="0.25"/>
  <cols>
    <col min="1" max="1" width="36.28515625" bestFit="1" customWidth="1"/>
    <col min="2" max="2" width="14.85546875" customWidth="1"/>
    <col min="3" max="3" width="16.5703125" customWidth="1"/>
    <col min="4" max="4" width="9.5703125" customWidth="1"/>
    <col min="5" max="5" width="8" bestFit="1" customWidth="1"/>
    <col min="6" max="6" width="10" customWidth="1"/>
    <col min="7" max="7" width="11.7109375" customWidth="1"/>
  </cols>
  <sheetData>
    <row r="1" spans="1:7" ht="15.75" thickBot="1" x14ac:dyDescent="0.3">
      <c r="A1" s="1" t="s">
        <v>1</v>
      </c>
      <c r="B1" s="2" t="s">
        <v>30</v>
      </c>
      <c r="C1" s="3" t="s">
        <v>108</v>
      </c>
      <c r="D1" s="3" t="s">
        <v>83</v>
      </c>
      <c r="E1" s="3" t="s">
        <v>84</v>
      </c>
      <c r="F1" s="3" t="s">
        <v>85</v>
      </c>
      <c r="G1" s="4" t="s">
        <v>86</v>
      </c>
    </row>
    <row r="2" spans="1:7" ht="15.75" thickTop="1" x14ac:dyDescent="0.25">
      <c r="A2" s="5" t="s">
        <v>397</v>
      </c>
      <c r="B2" s="6" t="s">
        <v>243</v>
      </c>
      <c r="C2" s="6"/>
      <c r="D2" s="6">
        <v>3</v>
      </c>
      <c r="E2" s="15">
        <v>20.99</v>
      </c>
      <c r="F2" s="8">
        <v>0.1875</v>
      </c>
      <c r="G2" s="9">
        <v>864</v>
      </c>
    </row>
    <row r="3" spans="1:7" x14ac:dyDescent="0.25">
      <c r="A3" s="10" t="s">
        <v>398</v>
      </c>
      <c r="B3" s="11" t="s">
        <v>247</v>
      </c>
      <c r="C3" s="11"/>
      <c r="D3" s="11">
        <v>3</v>
      </c>
      <c r="E3" s="12">
        <v>20.99</v>
      </c>
      <c r="F3" s="13">
        <v>0.1875</v>
      </c>
      <c r="G3" s="14">
        <v>864</v>
      </c>
    </row>
    <row r="4" spans="1:7" x14ac:dyDescent="0.25">
      <c r="A4" s="5" t="s">
        <v>399</v>
      </c>
      <c r="B4" s="6" t="s">
        <v>251</v>
      </c>
      <c r="C4" s="6"/>
      <c r="D4" s="6">
        <v>3</v>
      </c>
      <c r="E4" s="15">
        <v>20.99</v>
      </c>
      <c r="F4" s="8">
        <v>0.1875</v>
      </c>
      <c r="G4" s="9">
        <v>864</v>
      </c>
    </row>
    <row r="5" spans="1:7" x14ac:dyDescent="0.25">
      <c r="A5" s="10" t="s">
        <v>400</v>
      </c>
      <c r="B5" s="11" t="s">
        <v>255</v>
      </c>
      <c r="C5" s="11"/>
      <c r="D5" s="11">
        <v>3</v>
      </c>
      <c r="E5" s="12">
        <v>20.99</v>
      </c>
      <c r="F5" s="13">
        <v>0.1875</v>
      </c>
      <c r="G5" s="14">
        <v>864</v>
      </c>
    </row>
    <row r="6" spans="1:7" x14ac:dyDescent="0.25">
      <c r="A6" s="5" t="s">
        <v>2</v>
      </c>
      <c r="B6" s="6" t="s">
        <v>259</v>
      </c>
      <c r="C6" s="6"/>
      <c r="D6" s="6">
        <v>3</v>
      </c>
      <c r="E6" s="22">
        <v>16.989999999999998</v>
      </c>
      <c r="F6" s="8">
        <v>0.1875</v>
      </c>
      <c r="G6" s="9">
        <v>864</v>
      </c>
    </row>
    <row r="7" spans="1:7" x14ac:dyDescent="0.25">
      <c r="A7" s="10" t="s">
        <v>401</v>
      </c>
      <c r="B7" s="11" t="s">
        <v>263</v>
      </c>
      <c r="C7" s="11"/>
      <c r="D7" s="11">
        <v>3</v>
      </c>
      <c r="E7" s="16">
        <v>16.989999999999998</v>
      </c>
      <c r="F7" s="13">
        <v>0.1875</v>
      </c>
      <c r="G7" s="14">
        <v>864</v>
      </c>
    </row>
    <row r="8" spans="1:7" x14ac:dyDescent="0.25">
      <c r="A8" s="5" t="s">
        <v>402</v>
      </c>
      <c r="B8" s="6" t="s">
        <v>267</v>
      </c>
      <c r="C8" s="6"/>
      <c r="D8" s="6">
        <v>3</v>
      </c>
      <c r="E8" s="22">
        <v>42.99</v>
      </c>
      <c r="F8" s="8">
        <v>0.1875</v>
      </c>
      <c r="G8" s="9">
        <v>864</v>
      </c>
    </row>
    <row r="9" spans="1:7" x14ac:dyDescent="0.25">
      <c r="A9" s="10" t="s">
        <v>403</v>
      </c>
      <c r="B9" s="11" t="s">
        <v>271</v>
      </c>
      <c r="C9" s="11"/>
      <c r="D9" s="11">
        <v>3</v>
      </c>
      <c r="E9" s="16">
        <v>16.989999999999998</v>
      </c>
      <c r="F9" s="13">
        <v>0.1875</v>
      </c>
      <c r="G9" s="14">
        <v>864</v>
      </c>
    </row>
    <row r="10" spans="1:7" x14ac:dyDescent="0.25">
      <c r="A10" s="5" t="s">
        <v>404</v>
      </c>
      <c r="B10" s="6" t="s">
        <v>275</v>
      </c>
      <c r="C10" s="6"/>
      <c r="D10" s="6">
        <v>3</v>
      </c>
      <c r="E10" s="22">
        <v>16.989999999999998</v>
      </c>
      <c r="F10" s="8">
        <v>0.1875</v>
      </c>
      <c r="G10" s="9">
        <v>864</v>
      </c>
    </row>
    <row r="11" spans="1:7" x14ac:dyDescent="0.25">
      <c r="A11" s="10" t="s">
        <v>405</v>
      </c>
      <c r="B11" s="11" t="s">
        <v>279</v>
      </c>
      <c r="C11" s="11"/>
      <c r="D11" s="11">
        <v>3</v>
      </c>
      <c r="E11" s="16">
        <v>18.989999999999998</v>
      </c>
      <c r="F11" s="13">
        <v>0.1875</v>
      </c>
      <c r="G11" s="14">
        <v>864</v>
      </c>
    </row>
    <row r="12" spans="1:7" x14ac:dyDescent="0.25">
      <c r="A12" s="5" t="s">
        <v>406</v>
      </c>
      <c r="B12" s="6" t="s">
        <v>283</v>
      </c>
      <c r="C12" s="6"/>
      <c r="D12" s="6">
        <v>3</v>
      </c>
      <c r="E12" s="22">
        <v>16.989999999999998</v>
      </c>
      <c r="F12" s="8">
        <v>0.1875</v>
      </c>
      <c r="G12" s="9">
        <v>864</v>
      </c>
    </row>
    <row r="13" spans="1:7" x14ac:dyDescent="0.25">
      <c r="A13" s="10" t="s">
        <v>407</v>
      </c>
      <c r="B13" s="11" t="s">
        <v>287</v>
      </c>
      <c r="C13" s="11"/>
      <c r="D13" s="11">
        <v>3</v>
      </c>
      <c r="E13" s="16">
        <v>16.989999999999998</v>
      </c>
      <c r="F13" s="13">
        <v>0.1875</v>
      </c>
      <c r="G13" s="14">
        <v>864</v>
      </c>
    </row>
    <row r="14" spans="1:7" x14ac:dyDescent="0.25">
      <c r="A14" s="5" t="s">
        <v>408</v>
      </c>
      <c r="B14" s="6" t="s">
        <v>291</v>
      </c>
      <c r="C14" s="6"/>
      <c r="D14" s="6">
        <v>3</v>
      </c>
      <c r="E14" s="7">
        <v>20.99</v>
      </c>
      <c r="F14" s="8">
        <v>0.1875</v>
      </c>
      <c r="G14" s="9">
        <v>864</v>
      </c>
    </row>
    <row r="15" spans="1:7" x14ac:dyDescent="0.25">
      <c r="A15" s="10" t="s">
        <v>409</v>
      </c>
      <c r="B15" s="11" t="s">
        <v>295</v>
      </c>
      <c r="C15" s="11"/>
      <c r="D15" s="11">
        <v>3</v>
      </c>
      <c r="E15" s="16">
        <v>27.99</v>
      </c>
      <c r="F15" s="13">
        <v>0.1875</v>
      </c>
      <c r="G15" s="14">
        <v>864</v>
      </c>
    </row>
    <row r="16" spans="1:7" x14ac:dyDescent="0.25">
      <c r="A16" s="5" t="s">
        <v>410</v>
      </c>
      <c r="B16" s="6" t="s">
        <v>299</v>
      </c>
      <c r="C16" s="6"/>
      <c r="D16" s="6">
        <v>3</v>
      </c>
      <c r="E16" s="7">
        <v>20.99</v>
      </c>
      <c r="F16" s="8">
        <v>0.1875</v>
      </c>
      <c r="G16" s="9">
        <v>864</v>
      </c>
    </row>
    <row r="17" spans="1:7" x14ac:dyDescent="0.25">
      <c r="A17" s="10" t="s">
        <v>411</v>
      </c>
      <c r="B17" s="11" t="s">
        <v>303</v>
      </c>
      <c r="C17" s="11"/>
      <c r="D17" s="11">
        <v>3</v>
      </c>
      <c r="E17" s="16">
        <v>89.99</v>
      </c>
      <c r="F17" s="13">
        <v>0.1875</v>
      </c>
      <c r="G17" s="14">
        <v>864</v>
      </c>
    </row>
    <row r="18" spans="1:7" x14ac:dyDescent="0.25">
      <c r="A18" s="23" t="s">
        <v>412</v>
      </c>
      <c r="B18" s="24" t="s">
        <v>307</v>
      </c>
      <c r="C18" s="24"/>
      <c r="D18" s="24">
        <v>3</v>
      </c>
      <c r="E18" s="25">
        <v>9.99</v>
      </c>
      <c r="F18" s="26">
        <v>0.1875</v>
      </c>
      <c r="G18" s="27">
        <v>864</v>
      </c>
    </row>
  </sheetData>
  <sheetProtection algorithmName="SHA-512" hashValue="WNTuzs3H/61G3OK0gwCJ4ED7LghBWscvkYhTgXz/kI+H6MO+ySPVQpJc5Qp8pqObt6LwLqgpyxcKd4U7rJcOUg==" saltValue="Am1UaF3xrHaa/zfy5BCy0g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E4CBF127-4FBA-4298-99DE-3868E69B9B52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Calculator</vt:lpstr>
      <vt:lpstr>TENNIS READY</vt:lpstr>
      <vt:lpstr>TENNIS CONC</vt:lpstr>
      <vt:lpstr>PICKLEBALL READY</vt:lpstr>
      <vt:lpstr>PICKLEBALL CONC</vt:lpstr>
      <vt:lpstr>BBALL FULL READY</vt:lpstr>
      <vt:lpstr>BBALL FULL CONC</vt:lpstr>
      <vt:lpstr>BBALL HALF READY</vt:lpstr>
      <vt:lpstr>BBALL HALF CONC</vt:lpstr>
      <vt:lpstr>TOTAL AREA READY</vt:lpstr>
      <vt:lpstr>TOTAL AREA CONC</vt:lpstr>
      <vt:lpstr>55 GALLONS READY</vt:lpstr>
      <vt:lpstr>55 GALLONS CONC</vt:lpstr>
      <vt:lpstr>SportMaster Catalog</vt:lpstr>
      <vt:lpstr>1 GALLON</vt:lpstr>
      <vt:lpstr>24 OZ.</vt:lpstr>
      <vt:lpstr>Colors</vt:lpstr>
      <vt:lpstr>One_Gallon_Color_Options</vt:lpstr>
      <vt:lpstr>Calculator!Print_Area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Anthony Jolly</dc:creator>
  <cp:keywords/>
  <dc:description/>
  <cp:lastModifiedBy>Anthony Jolly</cp:lastModifiedBy>
  <cp:revision/>
  <cp:lastPrinted>2025-06-23T13:49:54Z</cp:lastPrinted>
  <dcterms:created xsi:type="dcterms:W3CDTF">2025-03-27T12:36:57Z</dcterms:created>
  <dcterms:modified xsi:type="dcterms:W3CDTF">2026-02-16T18:12:48Z</dcterms:modified>
  <cp:category/>
  <cp:contentStatus/>
</cp:coreProperties>
</file>